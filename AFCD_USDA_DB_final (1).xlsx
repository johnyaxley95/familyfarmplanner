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ohn\Documents\FamilyFarmPlanner\"/>
    </mc:Choice>
  </mc:AlternateContent>
  <xr:revisionPtr revIDLastSave="0" documentId="8_{B3F959A7-7F53-485D-B667-50B672C3822D}" xr6:coauthVersionLast="47" xr6:coauthVersionMax="47" xr10:uidLastSave="{00000000-0000-0000-0000-000000000000}"/>
  <bookViews>
    <workbookView xWindow="-28920" yWindow="-120" windowWidth="29040" windowHeight="15840" tabRatio="500" xr2:uid="{00000000-000D-0000-FFFF-FFFF00000000}"/>
  </bookViews>
  <sheets>
    <sheet name="Sheet1" sheetId="1" r:id="rId1"/>
    <sheet name="Sheet2" sheetId="2" r:id="rId2"/>
  </sheets>
  <definedNames>
    <definedName name="_xlnm._FilterDatabase" localSheetId="0" hidden="1">Sheet1!$A$2:$EF$198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 i="2" l="1" a="1"/>
  <c r="C2" i="2" a="1"/>
  <c r="D2" i="2" a="1"/>
  <c r="K2" i="2" a="1"/>
  <c r="J2" i="2" a="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 i="2"/>
  <c r="H2" i="2" a="1"/>
  <c r="G2" i="2" a="1"/>
  <c r="F2" i="2" a="1"/>
  <c r="B2" i="2" a="1"/>
  <c r="A2"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<sst xmlns="http://schemas.openxmlformats.org/spreadsheetml/2006/main" count="9128" uniqueCount="2652">
  <si>
    <t>CROP IDENTIFICATION</t>
  </si>
  <si>
    <t>NUTRITIONAL DATA  (per 100 g)</t>
  </si>
  <si>
    <t>ECOCROP DATABASE — ALL FIELDS</t>
  </si>
  <si>
    <t>PLANT MORPHOLOGY  (USDA PLANTS Database)</t>
  </si>
  <si>
    <t>YIELD POTENTIAL  (FAOSTAT / FAO / USDA)</t>
  </si>
  <si>
    <t>FARM LABOUR — MECHANISED / COMMERCIAL SYSTEM  (hours / ha)</t>
  </si>
  <si>
    <t>FARM LABOUR — MANUAL / SMALLHOLDER SYSTEM  (hours / ha)</t>
  </si>
  <si>
    <t>LABOUR DATA SOURCE</t>
  </si>
  <si>
    <t>FOOD GROUP &amp; SERVING SIZE  (Australian Dietary Guidelines 2013)</t>
  </si>
  <si>
    <t>HARVEST CALENDAR  (Australian Growing Conditions — Southern Hemisphere)</t>
  </si>
  <si>
    <t>STORAGE &amp; PRESERVATION  (USDA / NSW DPI / FAO / Hort Innovation)</t>
  </si>
  <si>
    <t>Crop Name</t>
  </si>
  <si>
    <t>Edible Part</t>
  </si>
  <si>
    <t>AFCD Food Entry Used</t>
  </si>
  <si>
    <t>Calories (kcal)</t>
  </si>
  <si>
    <t>Protein (g)</t>
  </si>
  <si>
    <t>Fat (g)</t>
  </si>
  <si>
    <t>Carbohydrate (g)</t>
  </si>
  <si>
    <t>Fiber (g)</t>
  </si>
  <si>
    <t>Ca (mg)</t>
  </si>
  <si>
    <t>Fe (mg)</t>
  </si>
  <si>
    <t>Mg (mg)</t>
  </si>
  <si>
    <t>P (mg)</t>
  </si>
  <si>
    <t>K (mg)</t>
  </si>
  <si>
    <t>Na (mg)</t>
  </si>
  <si>
    <t>Zn (mg)</t>
  </si>
  <si>
    <t>Cu (mg)</t>
  </si>
  <si>
    <t>Mn (mg)</t>
  </si>
  <si>
    <t>Se (µg)</t>
  </si>
  <si>
    <t>VitA (µg RE)</t>
  </si>
  <si>
    <t>VitE (mg)</t>
  </si>
  <si>
    <t>VitC (mg)</t>
  </si>
  <si>
    <t>B1 (mg)</t>
  </si>
  <si>
    <t>B2 (mg)</t>
  </si>
  <si>
    <t>B3 (mg)</t>
  </si>
  <si>
    <t>B6 (mg)</t>
  </si>
  <si>
    <t>B12 (µg)</t>
  </si>
  <si>
    <t>B9/Folate (µg)</t>
  </si>
  <si>
    <t>EcoPortCode</t>
  </si>
  <si>
    <t>ScientificName</t>
  </si>
  <si>
    <t>AUTH</t>
  </si>
  <si>
    <t>FAMNAME</t>
  </si>
  <si>
    <t>SYNO</t>
  </si>
  <si>
    <t>COM</t>
  </si>
  <si>
    <t>COMNAME</t>
  </si>
  <si>
    <t>SUIT</t>
  </si>
  <si>
    <t>LIFO</t>
  </si>
  <si>
    <t>HABI</t>
  </si>
  <si>
    <t>LISPA</t>
  </si>
  <si>
    <t>SEASON</t>
  </si>
  <si>
    <t>PHYS</t>
  </si>
  <si>
    <t>CAT</t>
  </si>
  <si>
    <t>CAT2</t>
  </si>
  <si>
    <t>PLAT</t>
  </si>
  <si>
    <t>TOPMN</t>
  </si>
  <si>
    <t>TOPMX</t>
  </si>
  <si>
    <t>TMIN</t>
  </si>
  <si>
    <t>TMAX</t>
  </si>
  <si>
    <t>ROPMN</t>
  </si>
  <si>
    <t>ROPMX</t>
  </si>
  <si>
    <t>RMIN</t>
  </si>
  <si>
    <t>RMAX</t>
  </si>
  <si>
    <t>PHOPMN</t>
  </si>
  <si>
    <t>PHOPMX</t>
  </si>
  <si>
    <t>PHMIN</t>
  </si>
  <si>
    <t>PHMAX</t>
  </si>
  <si>
    <t>LATOPMN</t>
  </si>
  <si>
    <t>LATOPMX</t>
  </si>
  <si>
    <t>LATMN</t>
  </si>
  <si>
    <t>LATMX</t>
  </si>
  <si>
    <t>ALTMX</t>
  </si>
  <si>
    <t>LIOPMN</t>
  </si>
  <si>
    <t>LIOPMX</t>
  </si>
  <si>
    <t>LIMN</t>
  </si>
  <si>
    <t>LIMX</t>
  </si>
  <si>
    <t>DEP</t>
  </si>
  <si>
    <t>DEPR</t>
  </si>
  <si>
    <t>TEXT</t>
  </si>
  <si>
    <t>TEXTR</t>
  </si>
  <si>
    <t>FER</t>
  </si>
  <si>
    <t>FERR</t>
  </si>
  <si>
    <t>TOX</t>
  </si>
  <si>
    <t>TOXR</t>
  </si>
  <si>
    <t>SAL</t>
  </si>
  <si>
    <t>SALR</t>
  </si>
  <si>
    <t>DRA</t>
  </si>
  <si>
    <t>DRAR</t>
  </si>
  <si>
    <t>KTMPR</t>
  </si>
  <si>
    <t>KTMP</t>
  </si>
  <si>
    <t>PHOTO</t>
  </si>
  <si>
    <t>CLIZ</t>
  </si>
  <si>
    <t>ABITOL</t>
  </si>
  <si>
    <t>ABISUS</t>
  </si>
  <si>
    <t>INTRI</t>
  </si>
  <si>
    <t>PROSY</t>
  </si>
  <si>
    <t>GMIN</t>
  </si>
  <si>
    <t>GMAX</t>
  </si>
  <si>
    <t>Height
Min (m)</t>
  </si>
  <si>
    <t>Height
Max (m)</t>
  </si>
  <si>
    <t>Width/Spread
Min (m)</t>
  </si>
  <si>
    <t>Width/Spread
Max (m)</t>
  </si>
  <si>
    <t>Morphology Notes</t>
  </si>
  <si>
    <t>Yield
Low (t/ha)</t>
  </si>
  <si>
    <t>Yield
High (t/ha)</t>
  </si>
  <si>
    <t>Yield Notes</t>
  </si>
  <si>
    <t>Yield Source</t>
  </si>
  <si>
    <t>Mech
Land Prep
(h/ha)</t>
  </si>
  <si>
    <t>Mech
Sow/Plant
(h/ha)</t>
  </si>
  <si>
    <t>Mech
Weed
(h/ha)</t>
  </si>
  <si>
    <t>Mech
Fertilise
(h/ha)</t>
  </si>
  <si>
    <t>Mech
Pest/Disease
(h/ha)</t>
  </si>
  <si>
    <t>Mech
Prune/Train
(h/ha)</t>
  </si>
  <si>
    <t>Mech
Irrigate
(h/ha)</t>
  </si>
  <si>
    <t>Mech
Harvest
(h/ha)</t>
  </si>
  <si>
    <t>Mech
Post-Harvest
(h/ha)</t>
  </si>
  <si>
    <t>Hand
Land Prep
(h/ha)</t>
  </si>
  <si>
    <t>Hand
Sow/Plant
(h/ha)</t>
  </si>
  <si>
    <t>Hand
Weed
(h/ha)</t>
  </si>
  <si>
    <t>Hand
Fertilise
(h/ha)</t>
  </si>
  <si>
    <t>Hand
Pest/Disease
(h/ha)</t>
  </si>
  <si>
    <t>Hand
Prune/Train
(h/ha)</t>
  </si>
  <si>
    <t>Hand
Irrigate
(h/ha)</t>
  </si>
  <si>
    <t>Hand
Harvest
(h/ha)</t>
  </si>
  <si>
    <t>Hand
Post-Harvest
(h/ha)</t>
  </si>
  <si>
    <t>Labour
Data Source</t>
  </si>
  <si>
    <t>ADG
Food Group</t>
  </si>
  <si>
    <t>ADG Serve
Size (g)</t>
  </si>
  <si>
    <t>ADG Serve Notes</t>
  </si>
  <si>
    <t>Jan</t>
  </si>
  <si>
    <t>Feb</t>
  </si>
  <si>
    <t>Mar</t>
  </si>
  <si>
    <t>Apr</t>
  </si>
  <si>
    <t>May</t>
  </si>
  <si>
    <t>Jun</t>
  </si>
  <si>
    <t>Jul</t>
  </si>
  <si>
    <t>Aug</t>
  </si>
  <si>
    <t>Sep</t>
  </si>
  <si>
    <t>Oct</t>
  </si>
  <si>
    <t>Nov</t>
  </si>
  <si>
    <t>Dec</t>
  </si>
  <si>
    <t>Australian Region / Season Notes   |   P = Peak harvest   S = Shoulder season</t>
  </si>
  <si>
    <t>Northern Hemisphere Equivalent</t>
  </si>
  <si>
    <t>Storability
Class</t>
  </si>
  <si>
    <t>Primary
Storage Method</t>
  </si>
  <si>
    <t>Storage
Duration (months)</t>
  </si>
  <si>
    <t>Processing
Labour (h/100kg)</t>
  </si>
  <si>
    <t>Cool Storage
Only (no
processing)</t>
  </si>
  <si>
    <t>Brussels Sprouts</t>
  </si>
  <si>
    <t>Bud</t>
  </si>
  <si>
    <t>Brussels sprout, fresh, raw</t>
  </si>
  <si>
    <t>Brassica oleracea var. gemmifera</t>
  </si>
  <si>
    <t>L. [Zenker]</t>
  </si>
  <si>
    <t>Magnoliopsida:Dilleniidae:Capparales:Cruciferae</t>
  </si>
  <si>
    <t>Brussels sprouts</t>
  </si>
  <si>
    <t>Brussels sprouts, chou de Bruxelles (French), col de bruselas (Spanish), cavolini di Bruxelles (Italian)</t>
  </si>
  <si>
    <t>suitable</t>
  </si>
  <si>
    <t>herb</t>
  </si>
  <si>
    <t>erect</t>
  </si>
  <si>
    <t>annual, biennial</t>
  </si>
  <si>
    <t>COOL</t>
  </si>
  <si>
    <t>single stem</t>
  </si>
  <si>
    <t>vegetables</t>
  </si>
  <si>
    <t>grown on large scale</t>
  </si>
  <si>
    <t>very bright</t>
  </si>
  <si>
    <t>clear skies</t>
  </si>
  <si>
    <t>cloudy skies</t>
  </si>
  <si>
    <t>medium (50-150 cm)</t>
  </si>
  <si>
    <t>medium, organic</t>
  </si>
  <si>
    <t>heavy, medium</t>
  </si>
  <si>
    <t>high</t>
  </si>
  <si>
    <t>moderate</t>
  </si>
  <si>
    <t>low (&lt;4 dS/m)</t>
  </si>
  <si>
    <t>well (dry spells)</t>
  </si>
  <si>
    <t>short day (&lt;12 hours), neutral day (12-14 hours), long day (&gt;14 hours)</t>
  </si>
  <si>
    <t>tropical wet &amp; dry (Aw), steppe or semiarid (Bs), subtropical humid (Cf), subtropical dry summer (Cs), subtropical dry winter (Cw), temperate oceanic (Do), temperate continental (Dc), temperate with humid winters (Df), temperate with dry winters (Dw), boreal (E)</t>
  </si>
  <si>
    <t>home garden, small scale (manual)</t>
  </si>
  <si>
    <t>Biennial brassica</t>
  </si>
  <si>
    <t>Sprout yield; UK/Belgium commercial</t>
  </si>
  <si>
    <t>FAOSTAT QCL; HDC</t>
  </si>
  <si>
    <t>AHDB HDC; EXT UK — leaf stripping, multiple passes</t>
  </si>
  <si>
    <t>Vegetables &amp; Legumes</t>
  </si>
  <si>
    <t>½ cup cooked Brussels sprouts (~4 sprouts)</t>
  </si>
  <si>
    <t>S</t>
  </si>
  <si>
    <t>P</t>
  </si>
  <si>
    <t>VIC/TAS/NSW highlands — needs frost to sweeten; May–Oct; peak Jul–Sep</t>
  </si>
  <si>
    <t>NH: Nov–Feb (Netherlands, Belgium, UK)</t>
  </si>
  <si>
    <t>Medium Storage</t>
  </si>
  <si>
    <t>Leave on stalk; refrigerate; freeze</t>
  </si>
  <si>
    <t>2 wks – 2 mo</t>
  </si>
  <si>
    <t>2–5 weeks</t>
  </si>
  <si>
    <t>Fennel</t>
  </si>
  <si>
    <t>Bulb</t>
  </si>
  <si>
    <t>Fennel, fresh, raw</t>
  </si>
  <si>
    <t>Foeniculum vulgare</t>
  </si>
  <si>
    <t>Mill.</t>
  </si>
  <si>
    <t>Magnoliopsida:Rosidae:Apiales:Umbelliferae</t>
  </si>
  <si>
    <t>Anethum foeniculum L., Foeniculum officinale All., Foeniculum capillaceum Gilib., Meum foeniculum Spreng.</t>
  </si>
  <si>
    <t>fennel</t>
  </si>
  <si>
    <t>fennel, sweet fennel, fennel seed, fenouil sucre, fenouil, Fenchel, vinkel, saunf, badian, raz, hinojo, faenkål, shamar, venkel, finocchio, Aetheroleum foeniculi, Aqua foeniculi, Foeniculi fructus, funcho, fyenkhel', uikyo, hui-hsiang, ensilal, kamuni (Galinya), insilali (Galinya)</t>
  </si>
  <si>
    <t>biennial, perennial</t>
  </si>
  <si>
    <t>vegetables, materials, medicinals &amp; aromatic</t>
  </si>
  <si>
    <t>shallow (20-50 cm)</t>
  </si>
  <si>
    <t>medium</t>
  </si>
  <si>
    <t>heavy, medium, light</t>
  </si>
  <si>
    <t>long day (&gt;14 hours)</t>
  </si>
  <si>
    <t>tropical wet &amp; dry (Aw), steppe or semiarid (Bs), subtropical dry summer (Cs), temperate oceanic (Do), temperate continental (Dc), temperate with humid winters (Df), temperate with dry winters (Dw)</t>
  </si>
  <si>
    <t>home garden, large scale/commercial</t>
  </si>
  <si>
    <t>Perennial herb; Florence fennel shorter</t>
  </si>
  <si>
    <t>Bulb yield; Italy/France commercial</t>
  </si>
  <si>
    <t>FAOSTAT QCL</t>
  </si>
  <si>
    <t>EXT Italy; NSWDPI; LIT</t>
  </si>
  <si>
    <t>½ cup cooked or raw fennel bulb</t>
  </si>
  <si>
    <t>Cool-season VIC/SA/NSW — autumn–spring; Apr–Oct</t>
  </si>
  <si>
    <t>NH: Oct–Mar (Italy, France)</t>
  </si>
  <si>
    <t>Short Storage</t>
  </si>
  <si>
    <t>Refrigerate; dry seeds</t>
  </si>
  <si>
    <t>1 wks – 1 mo</t>
  </si>
  <si>
    <t>1–3 weeks</t>
  </si>
  <si>
    <t>Onion</t>
  </si>
  <si>
    <t>Onion, mature, brown skinned, peeled, raw</t>
  </si>
  <si>
    <t>Allium cepa</t>
  </si>
  <si>
    <t>L.</t>
  </si>
  <si>
    <t>Liliopsida:Liliidae:Asparagales:Alliaceae</t>
  </si>
  <si>
    <t>Allium ascalonicum L., Cepa rotunda Dod., Allium esculentum Salisb., Allium porrum cepa Rehb.</t>
  </si>
  <si>
    <t>onion</t>
  </si>
  <si>
    <t>onion, potato onion, shallot, echalote, oignon, cebolla, basal, cebola, cipolla, Zwiebel, Küchenzwiebel, lök, rödlök, løg, rødløg, kepaløk, ruokasipuli, ui, ajuin, mózespecsenye, zsidószalonna, hagyma, vöröshagyma, zöldhagyma, újhagyma (green onion), cibule, ceba, cepo, sercajo, spritajo, uinnean, Bulbus Allii Cepae, uie, luk, cebula jadalna, sogan, pias, kremmídi, laukur, yang-ts'ung, chung, cong, ts'ung, chung tau, ts'ung tau, yang ts'ung, tamanegi, atasuki, wakegi, kalik, piaz, piyaz, varosa, key shinkurt, ponoru, pianj, kesunni, kyet-thun-ni, harili sibul, dungari, yarok, batzal, bawang merah, bawang daun, daun bawang (green leaf), nirulli, khtim slek, khtim kraham, phak bouo, bawang daun (green leaf), ulli, kanda, piaja, ayun, peyaz, ceapã, palandu, lunu, kitunguu, sibuyas, irulli, vengayam, ton hom, hua hom, hanh, lasóna</t>
  </si>
  <si>
    <t>poorly suited</t>
  </si>
  <si>
    <t>biennial</t>
  </si>
  <si>
    <t>vegetables, medicinals &amp; aromatic</t>
  </si>
  <si>
    <t>wide, organic</t>
  </si>
  <si>
    <t>low</t>
  </si>
  <si>
    <t>medium (4-10 dS/m)</t>
  </si>
  <si>
    <t>tropical wet &amp; dry (Aw), tropical wet (Ar), steppe or semiarid (Bs), subtropical humid (Cf), subtropical dry summer (Cs), subtropical dry winter (Cw), temperate oceanic (Do), temperate continental (Dc), temperate with humid winters (Df), temperate with dry winters (Dw)</t>
  </si>
  <si>
    <t>Annual/biennial; bulb</t>
  </si>
  <si>
    <t>Low: developing world smallholder; High: Netherlands commercial</t>
  </si>
  <si>
    <t>LIT Sudan Gezira (688 h/ha total); ERS; AHDB HDC</t>
  </si>
  <si>
    <t>½ cup cooked onion or 1 medium raw</t>
  </si>
  <si>
    <t>SA (Virginia), VIC (Ouyen), NSW, WA — planted autumn, harvested Oct–Jan; stored onions year-round</t>
  </si>
  <si>
    <t>NH: Jul–Oct (Netherlands, China, India)</t>
  </si>
  <si>
    <t>Long Storage</t>
  </si>
  <si>
    <t>Cure and braid; cool/dry/dark store</t>
  </si>
  <si>
    <t>3–12 months</t>
  </si>
  <si>
    <t>2–9 months</t>
  </si>
  <si>
    <t>Garlic</t>
  </si>
  <si>
    <t>Bulb/Clove</t>
  </si>
  <si>
    <t>Garlic, peeled, fresh, raw</t>
  </si>
  <si>
    <t>Allium sativum</t>
  </si>
  <si>
    <t>Porrum sativum Reh.</t>
  </si>
  <si>
    <t>garlic</t>
  </si>
  <si>
    <t>garlic, cultivated garlic, ail, aglio, ajo, kaliki, Knoblauch, vitlök, hvidløg, thum, knoflook, alho, alho de cultura, chesnok, ninniku, suan, Bulbus Allii Sativi, garlic oil</t>
  </si>
  <si>
    <t>medium, light</t>
  </si>
  <si>
    <t>tropical wet &amp; dry (Aw), tropical wet (Ar), subtropical humid (Cf), subtropical dry summer (Cs), subtropical dry winter (Cw), temperate oceanic (Do), temperate continental (Dc), temperate with humid winters (Df), temperate with dry winters (Dw)</t>
  </si>
  <si>
    <t>humidity</t>
  </si>
  <si>
    <t>Annual; bulb vegetable</t>
  </si>
  <si>
    <t>Bulb yield (fresh); China &gt;15 t/ha; small farms lower</t>
  </si>
  <si>
    <t>EXT California; NSWDPI; AHDB HDC</t>
  </si>
  <si>
    <t>2–3 cloves (~10g); typically used as condiment</t>
  </si>
  <si>
    <t>Riverina NSW, SA, VIC — planted autumn, harvested Nov–Jan; new season Dec</t>
  </si>
  <si>
    <t>NH: Jun–Aug (China, Spain, Argentina)</t>
  </si>
  <si>
    <t>Dry and braid; cool/dry shelf</t>
  </si>
  <si>
    <t>1–9 months</t>
  </si>
  <si>
    <t>Leek</t>
  </si>
  <si>
    <t>Bulb/Stalk</t>
  </si>
  <si>
    <t>Leek, fresh, raw</t>
  </si>
  <si>
    <t>Allium ampeloprasum</t>
  </si>
  <si>
    <t>wild leek</t>
  </si>
  <si>
    <t>wild leek, vine leek, Levant garlic, alho porro bravo, liiki</t>
  </si>
  <si>
    <t>Annual/biennial</t>
  </si>
  <si>
    <t>UK/Belgium commercial average 30-35 t/ha</t>
  </si>
  <si>
    <t>AHDB HDC; EXT UK</t>
  </si>
  <si>
    <t>½ cup cooked leek</t>
  </si>
  <si>
    <t>VIC, SA, NSW — cool-season crop; May–Oct; available most of year</t>
  </si>
  <si>
    <t>NH: Oct–Mar (Netherlands, France)</t>
  </si>
  <si>
    <t>Leave in ground; refrigerate; freeze</t>
  </si>
  <si>
    <t>2 wks – 3 mo</t>
  </si>
  <si>
    <t>0–3 months</t>
  </si>
  <si>
    <t>Roselle</t>
  </si>
  <si>
    <t>Calyx</t>
  </si>
  <si>
    <t>Hibiscus sabdariffa</t>
  </si>
  <si>
    <t>Magnoliopsida:Dilleniidae:Malvales:Malvaceae</t>
  </si>
  <si>
    <t>roselle</t>
  </si>
  <si>
    <t>roselle, rozelle, sorrel, red sorrel, Jamaica sorrel, Indian sorrel, Guinea sorrel, sour-sour, Queensland jelly plant, jelly okra, lemon bush, Florida cranberry, oseille rouge, oseille de Guinée, quimbombó chino, sereni, rosa de Jamaica, flor de Jamaica, agrio de Guinea, quetmia ácida, viña, viñuela, vinagreira, azeda de Guiné, cururú azédo, quiabeiro azédo, zuring, karkadé, carcadé</t>
  </si>
  <si>
    <t>annual</t>
  </si>
  <si>
    <t>WARM</t>
  </si>
  <si>
    <t>single stem, multi stem, C3 photosynthesis</t>
  </si>
  <si>
    <t>forage/pasture, fruits &amp; nuts, vegetables, materials, medicinals &amp; aromatic</t>
  </si>
  <si>
    <t>forage/pasture</t>
  </si>
  <si>
    <t>grown on large scale, grown on small scale</t>
  </si>
  <si>
    <t>deep (&gt;&gt;150 cm)</t>
  </si>
  <si>
    <t>heavy, medium, light, wide, organic</t>
  </si>
  <si>
    <t>well (dry spells), excessive (dry/moderately dry)</t>
  </si>
  <si>
    <t>short day (&lt;12 hours)</t>
  </si>
  <si>
    <t>tropical wet &amp; dry (Aw), tropical wet (Ar), steppe or semiarid (Bs)</t>
  </si>
  <si>
    <t>home garden, small scale (manual), large scale/commercial</t>
  </si>
  <si>
    <t>Annual shrub</t>
  </si>
  <si>
    <t>Calyx yield; Sudan/SE Asia; fresh calyx</t>
  </si>
  <si>
    <t>FAO</t>
  </si>
  <si>
    <t>FAO Sudan/SE Asia; LIT — calyx hand-picked</t>
  </si>
  <si>
    <t>½ cup cooked roselle calyx</t>
  </si>
  <si>
    <t>Subtropical QLD/NT — post-wet season; Feb–Jul</t>
  </si>
  <si>
    <t>NH: Oct–Dec (Sudan, Thailand)</t>
  </si>
  <si>
    <t>Year-round Proc.</t>
  </si>
  <si>
    <t>Dry calyces; jam or cordial</t>
  </si>
  <si>
    <t>2 wks – 18 mo</t>
  </si>
  <si>
    <t>1–2 weeks</t>
  </si>
  <si>
    <t>Taro</t>
  </si>
  <si>
    <t>Corm</t>
  </si>
  <si>
    <t>Taro, peeled, fresh, raw</t>
  </si>
  <si>
    <t>Colocasia esculenta</t>
  </si>
  <si>
    <t>(L.)Schott</t>
  </si>
  <si>
    <t>Liliopsida:Arecidae:Arales:Araceae</t>
  </si>
  <si>
    <t>Alocasia dussii Dammer, Alocasia illustris Bull., Arum colocasia L, Arum colocasioides Desf., Arum esculentum L., Arum lividum Salisb., Arum nymphaeifolium (Vent.)Roxb., Arum peltatum Lam., Caladium acre R.Br., Caladium colocasia (L.)W.Wight, Caladium colocasioides (Desf.)Brongn., Caladium esculentum (L.) Vent., Caladium nymphaeifolium Vent., Colocasia acris (R.Br.)Schott., Colocasia antiquorum Schott., Colocasia antiquorum var. acris [Schott.] (R.Br.)Engl., Colocasia antiquorum var. aquatilis [Schott.] (Hassk.)Hassk. ex Engl., Colocasia antiquorum var. euchlora [Schott.] (K.Koch &amp; Linden)Engl., Colocasia antiquorum var. esculenta [Schott.] (L.) Schott. ex Engl., Colocasia antiquorum var. fontanesii [Schott.] Schott ex Engl., Colocasia antiquorum var. globulifera [Schott.] Engl. &amp; K.Krause, Colocasia antiquorum var. illustris [Schott.] (Bull)Engl., Colocasia antiquorum var. nymphaeifolia [Schott.] (Vent.)Engl., Colocasia antiquorum var. typica [Schott.] Engl., Colocasia esculenta var. acris [(L.)Schott.] (R.B</t>
  </si>
  <si>
    <t>taro</t>
  </si>
  <si>
    <t>taro, eddo, kalo, dasheen, cocoyam, elephant ears, potato of the tropics, ciamo, inhame, malanga, tayoba, alcocaz, elefantenohr, arum, daun keladi, madumbe, khoai mon, mangasiva sasili, sika, ba, boka, botika, dalo, gaui, sali, votuki, te taororo, matiotio, tara, talo, maroepa</t>
  </si>
  <si>
    <t>perennial</t>
  </si>
  <si>
    <t>roots/tubers, vegetables, ornamentals/turf</t>
  </si>
  <si>
    <t>roots/tubers</t>
  </si>
  <si>
    <t>light shade</t>
  </si>
  <si>
    <t>poorly (saturated &gt;50% of year), well (dry spells)</t>
  </si>
  <si>
    <t>tropical wet &amp; dry (Aw), tropical wet (Ar), subtropical humid (Cf)</t>
  </si>
  <si>
    <t>Herbaceous; clump width</t>
  </si>
  <si>
    <t>Corm yield; Pacific/Asia; 8-12 t/ha typical</t>
  </si>
  <si>
    <t>FAO Pacific; LIT Pacific islands</t>
  </si>
  <si>
    <t>½ medium taro corm (~75g); starchy vegetable</t>
  </si>
  <si>
    <t>Tropical QLD, Pacific community farms NSW — harvested 8–12 months after planting; peak autumn–winter</t>
  </si>
  <si>
    <t>NH tropical: year-round; dry season harvest (Africa, Pacific)</t>
  </si>
  <si>
    <t>Cool, dark, dry — not cold</t>
  </si>
  <si>
    <t>1–4 months</t>
  </si>
  <si>
    <t>0–4 months</t>
  </si>
  <si>
    <t>Coconut</t>
  </si>
  <si>
    <t>Flesh</t>
  </si>
  <si>
    <t>Nuts Coconut Meat Raw</t>
  </si>
  <si>
    <t>Cocos nucifera</t>
  </si>
  <si>
    <t>Linnaeus</t>
  </si>
  <si>
    <t>Liliopsida:Arecidae:Arecales:Palmae</t>
  </si>
  <si>
    <t>coconut</t>
  </si>
  <si>
    <t>coconut, cocotier, palma de coco, cocotero, côco, narial, thengai, kokospalme, ye, tree of life, tree of heaven, kalpaviriksha, tree of abundance, natures supermarket, kulau, coir fibre, (See "Notes" for hybrid names)</t>
  </si>
  <si>
    <t>tree</t>
  </si>
  <si>
    <t>evergreen, single stem</t>
  </si>
  <si>
    <t>fruits &amp; nuts, materials, forest/wood</t>
  </si>
  <si>
    <t>nuts</t>
  </si>
  <si>
    <t>grown on large scale, harvested from wild</t>
  </si>
  <si>
    <t>tropical wet &amp; dry (Aw), tropical wet (Ar)</t>
  </si>
  <si>
    <t>Tall palm; frond spread</t>
  </si>
  <si>
    <t>Yield in nut equivalent; Low: unmanaged; High: hybrid</t>
  </si>
  <si>
    <t>FAOSTAT QCL; FAO</t>
  </si>
  <si>
    <t>FAO Pacific; LIT — climbing harvest intensive</t>
  </si>
  <si>
    <t>Discretionary</t>
  </si>
  <si>
    <t>30g coconut flesh; high saturated fat — discretionary</t>
  </si>
  <si>
    <t>FNQ tropical coast — year-round; coconut water peak Feb–May; dry nut peak Apr–Jul</t>
  </si>
  <si>
    <t>NH tropical: year-round (Philippines, Indonesia)</t>
  </si>
  <si>
    <t>Dry nut; desiccated or oil</t>
  </si>
  <si>
    <t>1–6 months</t>
  </si>
  <si>
    <t>1–3 months</t>
  </si>
  <si>
    <t>Broccoli</t>
  </si>
  <si>
    <t>Floret</t>
  </si>
  <si>
    <t>Broccoli, fresh, raw</t>
  </si>
  <si>
    <t>Brassica oleracea var. italica</t>
  </si>
  <si>
    <t>L. [Plenck]</t>
  </si>
  <si>
    <t>Brassica campestris var ruvo L., Brassica oleracae var botrytis cymosa L.</t>
  </si>
  <si>
    <t>broccoli</t>
  </si>
  <si>
    <t>broccoli, sprouting broccoli, spear cauliflower, calabrese, cape broccoli, winter, purple cauliflower, nine-star perennial broccoli</t>
  </si>
  <si>
    <t>grown on small scale</t>
  </si>
  <si>
    <t>Annual brassica</t>
  </si>
  <si>
    <t>Floret head weight; USA/China commercial</t>
  </si>
  <si>
    <t>FAOSTAT QCL; USDA</t>
  </si>
  <si>
    <t>ERS broccoli; AHDB HDC; NSWDPI</t>
  </si>
  <si>
    <t>½ cup cooked broccoli</t>
  </si>
  <si>
    <t>VIC, NSW, SA, TAS — cool-season crop; best quality Jun–Sep nationally</t>
  </si>
  <si>
    <t>NH: Oct–Mar (Europe/USA)</t>
  </si>
  <si>
    <t>Refrigerate; blanch and freeze</t>
  </si>
  <si>
    <t>0 wks – 6 mo</t>
  </si>
  <si>
    <t>Broccolini</t>
  </si>
  <si>
    <t>Broccolini, fresh, raw</t>
  </si>
  <si>
    <t>Similar to broccoli but smaller heads</t>
  </si>
  <si>
    <t>Est.</t>
  </si>
  <si>
    <t>NSWDPI; LIT — multiple cuts; similar to broccoli</t>
  </si>
  <si>
    <t>½ cup cooked broccolini</t>
  </si>
  <si>
    <t>Same season as broccoli — cool-season; May–Oct</t>
  </si>
  <si>
    <t>NH: Oct–Mar</t>
  </si>
  <si>
    <t>Cauliflower</t>
  </si>
  <si>
    <t>Cauliflower, fresh, raw</t>
  </si>
  <si>
    <t>Brassica oleracea var. botrytis</t>
  </si>
  <si>
    <t>L. [L.]</t>
  </si>
  <si>
    <t>Brassica botrytis Miller, Brassica oleracea var botrytis cauliflora</t>
  </si>
  <si>
    <t>cauliflower</t>
  </si>
  <si>
    <t>cauliflower, chou fleur (French), coliflor (Spanish), cavolfiore (Italian), broccoli, heading broccoli, brocoli (French), broccoli (Italian), brocoli (Spanish)</t>
  </si>
  <si>
    <t>tropical wet &amp; dry (Aw), tropical wet (Ar), steppe or semiarid (Bs), subtropical humid (Cf), subtropical dry summer (Cs), subtropical dry winter (Cw), temperate oceanic (Do), temperate continental (Dc), temperate with humid winters (Df), temperate with dry winters (Dw), boreal (E)</t>
  </si>
  <si>
    <t>Curd weight; EU commercial average 15-20 t/ha</t>
  </si>
  <si>
    <t>AHDB HDC; NSWDPI — leaf tying for blanching</t>
  </si>
  <si>
    <t>½ cup cooked cauliflower</t>
  </si>
  <si>
    <t>VIC, NSW, SA, WA — cool-season; Apr–Oct; peak Jun–Sep</t>
  </si>
  <si>
    <t>1–4 weeks</t>
  </si>
  <si>
    <t>Artichoke (Globe)</t>
  </si>
  <si>
    <t>Flower Head</t>
  </si>
  <si>
    <t>Artichoke, globe, raw</t>
  </si>
  <si>
    <t>Cynara scolymus</t>
  </si>
  <si>
    <t>Magnoliopsida:Asteridae:Asterales:Compositae</t>
  </si>
  <si>
    <t>globe artichoke</t>
  </si>
  <si>
    <t>globe artichoke, artichoke, carciofo, alcachofa, Artischocke, artichaut, kenchofe (Galinya)</t>
  </si>
  <si>
    <t>tropical wet &amp; dry (Aw), steppe or semiarid (Bs), subtropical dry summer (Cs), temperate oceanic (Do)</t>
  </si>
  <si>
    <t>Perennial herb</t>
  </si>
  <si>
    <t>Mediterranean; Sicily ~12 t/ha</t>
  </si>
  <si>
    <t>ERS; EXT California; NSWDPI</t>
  </si>
  <si>
    <t>1 medium globe artichoke heart</t>
  </si>
  <si>
    <t>VIC, SA, NSW — cool-weather crop; autumn–spring; Jul–Nov</t>
  </si>
  <si>
    <t>NH: Mar–May (Italy, California)</t>
  </si>
  <si>
    <t>Refrigerate; pickle hearts</t>
  </si>
  <si>
    <t>Apple</t>
  </si>
  <si>
    <t>Fruit</t>
  </si>
  <si>
    <t>Apple, red skin, peeled, raw</t>
  </si>
  <si>
    <t>Malus domestica</t>
  </si>
  <si>
    <t>Borkh.</t>
  </si>
  <si>
    <t>Magnoliopsida:Rosidae:Rosales:Rosaceae</t>
  </si>
  <si>
    <t>Malus sylvestris Miller</t>
  </si>
  <si>
    <t>apple</t>
  </si>
  <si>
    <t>apple, mela, appel</t>
  </si>
  <si>
    <t>deciduous, single stem</t>
  </si>
  <si>
    <t>fruits &amp; nuts, materials, ornamentals/turf, forest/wood</t>
  </si>
  <si>
    <t>fruits &amp; nuts</t>
  </si>
  <si>
    <t>subtropical humid (Cf), subtropical dry summer (Cs), subtropical dry winter (Cw), temperate oceanic (Do), temperate continental (Dc), temperate with humid winters (Df), temperate with dry winters (Dw)</t>
  </si>
  <si>
    <t>Tree; dwarf cultivars 1.5-3 m</t>
  </si>
  <si>
    <t>Low: rain-fed smallholder; High: intensive irrigated (NZ/US)</t>
  </si>
  <si>
    <t>ERS apples; Gala needs 200h/ac prune+thin+net; AHDB HDC; NSWDPI</t>
  </si>
  <si>
    <t>1 medium apple</t>
  </si>
  <si>
    <t>Granite Belt QLD, Batlow NSW, Harcourt VIC, Adelaide Hills SA, Manjimup WA — Feb–Apr peak; late varieties extend to May</t>
  </si>
  <si>
    <t>NH: Aug–Oct peak (Europe/N America)</t>
  </si>
  <si>
    <t>Cool/dark cellar or refrigerated</t>
  </si>
  <si>
    <t>2–8 months</t>
  </si>
  <si>
    <t>Apricot</t>
  </si>
  <si>
    <t>Apricot, raw</t>
  </si>
  <si>
    <t>Prunus armeniaca</t>
  </si>
  <si>
    <t>apricot</t>
  </si>
  <si>
    <t>apricot, albicocca, Aprikose, abricot, alperceiro, damasqueiro, albaricoque</t>
  </si>
  <si>
    <t>forage/pasture, fruits &amp; nuts, materials</t>
  </si>
  <si>
    <t>Tree; semi-dwarf common in orchards</t>
  </si>
  <si>
    <t>Low: dryland; High: irrigated orchard</t>
  </si>
  <si>
    <t>ERS stone fruit; NSWDPI; LIT</t>
  </si>
  <si>
    <t>2 small apricots (~75g each)</t>
  </si>
  <si>
    <t>Riverland SA, Sunraysia VIC/NSW, Young NSW — Nov–Feb; peak Dec–Jan</t>
  </si>
  <si>
    <t>NH: Jun–Aug</t>
  </si>
  <si>
    <t>Dry, jam, or freeze</t>
  </si>
  <si>
    <t>1 wks – 18 mo</t>
  </si>
  <si>
    <t>Avocado</t>
  </si>
  <si>
    <t>Avocado, hass, raw</t>
  </si>
  <si>
    <t>Persea americana</t>
  </si>
  <si>
    <t>Magnoliopsida:Magnoliidae:Magnoliales:Lauraceae</t>
  </si>
  <si>
    <t>Persea gratissima Gaertn. (1807), Laurus persia L., Persea drymifolia Schlecht &amp; Cham. (1831), Persea nubigena L.O. Williams (1950), Persea persea (L.) Cockerell</t>
  </si>
  <si>
    <t>avocado</t>
  </si>
  <si>
    <t>avocado, avocatier, aguacate, adpukat, avokad, apukado, avokaa, awokado, bo', ie dau, apoka (Cook I), pea, avoka, aviota, bata</t>
  </si>
  <si>
    <t>evergreen, deciduous, single stem, C3 photosynthesis</t>
  </si>
  <si>
    <t>fruits &amp; nuts, forest/wood</t>
  </si>
  <si>
    <t>wind, flooding</t>
  </si>
  <si>
    <t>Tree; orchard trees often kept 4-6 m</t>
  </si>
  <si>
    <t>Low: unmanaged; High: irrigated commercial (Mexico/SA)</t>
  </si>
  <si>
    <t>ERS; NSWDPI; LIT</t>
  </si>
  <si>
    <t>½ avocado; note: high fat — treat as occasional</t>
  </si>
  <si>
    <t>Bundaberg QLD, Tropical QLD/WA May–Dec; Vic/SA varieties Jul–Nov; national peak Aug–Oct</t>
  </si>
  <si>
    <t>NH: Oct–Mar (Mexico/California dominant)</t>
  </si>
  <si>
    <t>Refrigerate ripe; freeze as puree</t>
  </si>
  <si>
    <t>Banana</t>
  </si>
  <si>
    <t>Banana, cavendish, peeled, raw</t>
  </si>
  <si>
    <t>Musa sapientum</t>
  </si>
  <si>
    <t>Liliopsida:Zingiberidae:Zingiberales:Musaceae</t>
  </si>
  <si>
    <t>Musa cv. L., Musa sinensis, Musa paradisiaca L.</t>
  </si>
  <si>
    <t>common banana</t>
  </si>
  <si>
    <t>common banana, banana, plantain, broadleaf plantain, dessert banana, dwarf cavendish, banane, liwii, nas, navits, vii, meika (Cook I), vudi ni vavalagi, vudi, dini, vuda ni vavalagi, si, te banana (Kiribati), futi (Niue), fusi (Niue), hopa (Tonga), fai (Samoa), fai'i (Samoa), vudi (Simbo), hakua (Roviana), piesang (Afrikaans), futi (Tuvalu)</t>
  </si>
  <si>
    <t>Herbaceous pseudostem; clump spread</t>
  </si>
  <si>
    <t>Low: traditional; High: intensive plantation (Ecuador)</t>
  </si>
  <si>
    <t>FAO; NSWDPI; EXT</t>
  </si>
  <si>
    <t>1 medium banana</t>
  </si>
  <si>
    <t>Far North QLD/Tully/Innisfail — year-round; peak supply summer (Jan–Apr); cyclone risk Jan–Mar</t>
  </si>
  <si>
    <t>NH tropical: year-round (Philippines, Ecuador)</t>
  </si>
  <si>
    <t>Room temperature; freeze or dry ripe</t>
  </si>
  <si>
    <t>1 wks – 6 mo</t>
  </si>
  <si>
    <t>0–2 weeks</t>
  </si>
  <si>
    <t>Bilberry</t>
  </si>
  <si>
    <t>Blueberries</t>
  </si>
  <si>
    <t>Vaccinium myrtillus</t>
  </si>
  <si>
    <t>Magnoliopsida:Dilleniidae:Ericales:Ericaceae</t>
  </si>
  <si>
    <t>bilberry</t>
  </si>
  <si>
    <t>bilberry, blueberry, moorberry, hartberry, hurtleberry, whortleberry, dwarf bilberry, whinberry, blåbær, mirtilho, mirtilo, arando, airela, myrtille, Heidelbeere, mirtillo</t>
  </si>
  <si>
    <t>sub-shrub</t>
  </si>
  <si>
    <t>deciduous, multi stem</t>
  </si>
  <si>
    <t>fruits &amp; nuts, medicinals &amp; aromatic</t>
  </si>
  <si>
    <t>grown on small scale, harvested from wild</t>
  </si>
  <si>
    <t>light, organic</t>
  </si>
  <si>
    <t>subtropical dry summer (Cs), temperate oceanic (Do), temperate continental (Dc)</t>
  </si>
  <si>
    <t>Low shrub; Vaccinium myrtillus</t>
  </si>
  <si>
    <t>Wild harvest to managed; small scale only</t>
  </si>
  <si>
    <t>FAO/FAOSTAT</t>
  </si>
  <si>
    <t>LIT Scandinavia — mostly wild harvest</t>
  </si>
  <si>
    <t>1 cup diced/berries</t>
  </si>
  <si>
    <t>Limited Australian production; mainly wild/small-scale highlands; summer fruiting</t>
  </si>
  <si>
    <t>NH: Jul–Sep (Scandinavia/N Europe)</t>
  </si>
  <si>
    <t>Freeze or jam</t>
  </si>
  <si>
    <t>1 wks – 12 mo</t>
  </si>
  <si>
    <t>2–5 days</t>
  </si>
  <si>
    <t>Bitter Gourd</t>
  </si>
  <si>
    <t>Bitter Melon</t>
  </si>
  <si>
    <t>Momordica charantia</t>
  </si>
  <si>
    <t>Magnoliopsida:Dilleniidae:Violales:Cucurbitaceae</t>
  </si>
  <si>
    <t>bitter gourd</t>
  </si>
  <si>
    <t>bitter gourd, balsam pear, band carilla</t>
  </si>
  <si>
    <t>herb, vine</t>
  </si>
  <si>
    <t>climber/scrambler/scadent</t>
  </si>
  <si>
    <t>multi stem</t>
  </si>
  <si>
    <t>fruits &amp; nuts, vegetables, ornamentals/turf, environmental</t>
  </si>
  <si>
    <t>short day (&lt;12 hours), neutral day (12-14 hours)</t>
  </si>
  <si>
    <t>Climbing vine; height on support</t>
  </si>
  <si>
    <t>Low: subsistence; High: commercial tropical</t>
  </si>
  <si>
    <t>FAO Veg</t>
  </si>
  <si>
    <t>FAO Asia; LIT — trellis, regular picking</t>
  </si>
  <si>
    <t>½ cup cooked bitter gourd</t>
  </si>
  <si>
    <t>Tropical QLD/NT/WA — hot weather crop; Nov–Apr national supply</t>
  </si>
  <si>
    <t>NH: Jun–Sep (India, SE Asia)</t>
  </si>
  <si>
    <t>Refrigerate; dry or pickle</t>
  </si>
  <si>
    <t>Black Currant</t>
  </si>
  <si>
    <t>European Black Currants</t>
  </si>
  <si>
    <t>Ribes nigrum</t>
  </si>
  <si>
    <t>Magnoliopsida:Rosidae:Rosales:Grossulariaceae</t>
  </si>
  <si>
    <t>black currant</t>
  </si>
  <si>
    <t>black currant, schwarze Johannisbeere, Ribis nigri folium, Ribis nigri fructus</t>
  </si>
  <si>
    <t>shrub</t>
  </si>
  <si>
    <t>steppe or semiarid (Bs), temperate oceanic (Do), temperate continental (Dc), temperate with humid winters (Df), temperate with dry winters (Dw), boreal (E)</t>
  </si>
  <si>
    <t>Shrub</t>
  </si>
  <si>
    <t>Shrub; UK/EU commercial average 8-12 t/ha</t>
  </si>
  <si>
    <t>AHDB HDC; EXT UK; LIT</t>
  </si>
  <si>
    <t>1 cup currants</t>
  </si>
  <si>
    <t>Cool-climate Tasmania, Southern Highlands NSW, Alpine VIC — Dec–Jan peak</t>
  </si>
  <si>
    <t>NH: Jun–Aug (UK/Europe)</t>
  </si>
  <si>
    <t>3–7 days</t>
  </si>
  <si>
    <t>Blackberry</t>
  </si>
  <si>
    <t>Blackberry, raw</t>
  </si>
  <si>
    <t>Rubus sp.</t>
  </si>
  <si>
    <t>dewberry</t>
  </si>
  <si>
    <t>grown on large scale, grown on small scale, harvested from wild</t>
  </si>
  <si>
    <t>Cane plant; arching</t>
  </si>
  <si>
    <t>Wild to trellised commercial production</t>
  </si>
  <si>
    <t>USDA NASS</t>
  </si>
  <si>
    <t>ERS; EXT; AHDB</t>
  </si>
  <si>
    <t>1 cup blackberries (~150g)</t>
  </si>
  <si>
    <t>VIC/TAS/NSW cool areas; Dec–Apr; canes fruit in summer</t>
  </si>
  <si>
    <t>NH: Jul–Sep</t>
  </si>
  <si>
    <t>Blueberry</t>
  </si>
  <si>
    <t>Blueberry, raw</t>
  </si>
  <si>
    <t>Vaccinium corymbosum</t>
  </si>
  <si>
    <t>Vaccinium constablaei A. Gray</t>
  </si>
  <si>
    <t>high-bush blueberry</t>
  </si>
  <si>
    <t>high-bush blueberry, swamp blueberry, American blueberry, blueberry, mirtilho dos pantanos, airelle d'Amérique, amerikanische Blueberry, arándano americano</t>
  </si>
  <si>
    <t>temperate oceanic (Do), temperate continental (Dc), temperate with humid winters (Df), temperate with dry winters (Dw)</t>
  </si>
  <si>
    <t>flooding</t>
  </si>
  <si>
    <t>Low: wild/managed; High: commercial highbush US</t>
  </si>
  <si>
    <t>USDA NASS; FAOSTAT</t>
  </si>
  <si>
    <t>ERS blueberry; AHDB HDC; NSWDPI</t>
  </si>
  <si>
    <t>1 cup blueberries</t>
  </si>
  <si>
    <t>Coffs Harbour NSW, Qld, WA — Oct–Mar; peak Nov–Jan; TAS later (Jan–Mar)</t>
  </si>
  <si>
    <t>NH: Jun–Aug (Michigan, N Europe)</t>
  </si>
  <si>
    <t>Freeze or dry</t>
  </si>
  <si>
    <t>Breadfruit</t>
  </si>
  <si>
    <t>Artocarpus altilis</t>
  </si>
  <si>
    <t>(Parkinson) Fosberg</t>
  </si>
  <si>
    <t>Magnoliopsida:Dilleniidae:Urticales:Moraceae</t>
  </si>
  <si>
    <t>Artocarpus incisus (Thunb.) Linnaeus, Artocarpus communis J.R. &amp; G. Forster (1776), Artocarpus camansi Blanco (1837)</t>
  </si>
  <si>
    <t>breadfruit</t>
  </si>
  <si>
    <t>breadfruit, arbre à pain, fruit a pain, chataignier, fruta de pan, arbor de pan, arbor del pan, pan de pobre, pan de ano, pan de todo el ano, pan de palo, pan de name, topan, tupan, mazapan, castana, marure, castano de Malabar, panapen, pana de pepitas, sukun, kelur, timbul, fruta pao, pao de massa, broodvrucht, broodboom, suku, kulur, kelor, kulor, sa-ke, ulu, kula, uto, uto-sore, kapiak, rimas, kamansi, sakéé, khnaôr sâmloo, khanun-sampalor, sakê</t>
  </si>
  <si>
    <t>evergreen, semi evergreen, single stem</t>
  </si>
  <si>
    <t>heavy, medium, light, organic</t>
  </si>
  <si>
    <t>Large tropical tree</t>
  </si>
  <si>
    <t>Subsistence to managed; high-yielding tropical tree</t>
  </si>
  <si>
    <t>FAO Pacific; LIT</t>
  </si>
  <si>
    <t>1 cup diced breadfruit</t>
  </si>
  <si>
    <t>Limited Australian production; tropical FNQ; summer fruiting</t>
  </si>
  <si>
    <t>NH tropical: year-round (Pacific Islands)</t>
  </si>
  <si>
    <t>Cool/dry; cook and freeze</t>
  </si>
  <si>
    <t>1 wks – 2 mo</t>
  </si>
  <si>
    <t>Capsicum (Green)</t>
  </si>
  <si>
    <t>Capsicum, green, fresh, raw</t>
  </si>
  <si>
    <t>Capsicum annuum</t>
  </si>
  <si>
    <t>Magnoliopsida:Asteridae:Solanales:Solanaceae</t>
  </si>
  <si>
    <t>Capsicum annuum var. acuminatum Fingerh., Capsicum longum DC.</t>
  </si>
  <si>
    <t>sweet pepper</t>
  </si>
  <si>
    <t>sweet pepper, chili pepper, green pepper, lajiao, pimenton, poivre de Guinee, paprika, spansk peppar, spaanse peper, peperone, pimentao, struchkovy pyerets, togarashi, hsiung-ya-li-chiao, filfil ahmar, polo papalagi, polo ula</t>
  </si>
  <si>
    <t>tropical wet &amp; dry (Aw), tropical wet (Ar), subtropical humid (Cf), subtropical dry summer (Cs), subtropical dry winter (Cw)</t>
  </si>
  <si>
    <t>home garden, large scale/commercial, protected cultivation</t>
  </si>
  <si>
    <t>Annual/perennial shrub</t>
  </si>
  <si>
    <t>Low: field; High: heated greenhouse (Netherlands)</t>
  </si>
  <si>
    <t>Migration Dialogue 200h/ac bell pepper harvest; AHDB HDC</t>
  </si>
  <si>
    <t>½ cup raw or cooked capsicum</t>
  </si>
  <si>
    <t>QLD year-round; NSW/VIC summer; national peak Nov–Mar</t>
  </si>
  <si>
    <t>NH: Jul–Oct</t>
  </si>
  <si>
    <t>Refrigerate; freeze or dry</t>
  </si>
  <si>
    <t>Capsicum (Red)</t>
  </si>
  <si>
    <t>Capsicum, red, fresh, raw</t>
  </si>
  <si>
    <t>Same as green; picked ripe</t>
  </si>
  <si>
    <t>Migration Dialogue; ERS; AHDB</t>
  </si>
  <si>
    <t>½ cup raw or cooked red capsicum</t>
  </si>
  <si>
    <t>QLD/NSW summer crop; peak Jan–Mar when capsaicin/colour develops</t>
  </si>
  <si>
    <t>NH: Aug–Oct</t>
  </si>
  <si>
    <t>Refrigerate; roast and jar; freeze</t>
  </si>
  <si>
    <t>Capsicum (Yellow)</t>
  </si>
  <si>
    <t>Capsicum, yellow, fresh, raw</t>
  </si>
  <si>
    <t>Same as green/red; picked at yellow stage</t>
  </si>
  <si>
    <t>ERS; AHDB</t>
  </si>
  <si>
    <t>½ cup raw or cooked yellow capsicum</t>
  </si>
  <si>
    <t>Same as red capsicum; yellow varieties mature slightly later</t>
  </si>
  <si>
    <t>Refrigerate; freeze or roast and jar</t>
  </si>
  <si>
    <t>Carissa</t>
  </si>
  <si>
    <t>Shrub; Carissa macrocarpa</t>
  </si>
  <si>
    <t>Shrub; limited data; estimate</t>
  </si>
  <si>
    <t>LIT South Africa; Est.</t>
  </si>
  <si>
    <t>1 cup carissa berries</t>
  </si>
  <si>
    <t>Limited production; subtropical QLD coast; late summer–autumn</t>
  </si>
  <si>
    <t>NH: Aug–Oct (South Africa, India)</t>
  </si>
  <si>
    <t>Refrigerate; jam or jelly</t>
  </si>
  <si>
    <t>Cherimoya</t>
  </si>
  <si>
    <t>Annona cherimola</t>
  </si>
  <si>
    <t>Miller</t>
  </si>
  <si>
    <t>Magnoliopsida:Magnoliidae:Magnoliales:Annonaceae</t>
  </si>
  <si>
    <t>cherimoya</t>
  </si>
  <si>
    <t>cherimoya, cherimoyer, soursop, sauerapfel, cherimolier, graveola, noina ostrelia</t>
  </si>
  <si>
    <t>shrub, tree</t>
  </si>
  <si>
    <t>deciduous, single stem, multi stem</t>
  </si>
  <si>
    <t>tropical wet &amp; dry (Aw), tropical wet (Ar), steppe or semiarid (Bs), subtropical humid (Cf), subtropical dry summer (Cs)</t>
  </si>
  <si>
    <t>Small tree</t>
  </si>
  <si>
    <t>Hand-pollinated; premium market</t>
  </si>
  <si>
    <t>EXT Spain/Peru; LIT — hand pollination very intensive</t>
  </si>
  <si>
    <t>~½ medium cherimoya</t>
  </si>
  <si>
    <t>Subtropical QLD/northern NSW; autumn–early winter</t>
  </si>
  <si>
    <t>NH: Oct–Jan (Spain, Chile)</t>
  </si>
  <si>
    <t>Room temperature; freeze pulp</t>
  </si>
  <si>
    <t>Cherry</t>
  </si>
  <si>
    <t>Cherry, raw</t>
  </si>
  <si>
    <t>Prunus avium</t>
  </si>
  <si>
    <t>Cerasus avium (L.) Moench, Cerasus dulcis Gaertn.</t>
  </si>
  <si>
    <t>gean</t>
  </si>
  <si>
    <t>gean, heart cherry, sweet cherry, mazzard cherry, fugle kirsebær, cereja doce, cereja galega, Kirsche, Cerasorum stipites</t>
  </si>
  <si>
    <t>fruits &amp; nuts, medicinals &amp; aromatic, forest/wood</t>
  </si>
  <si>
    <t>steppe or semiarid (Bs), subtropical dry summer (Cs), temperate oceanic (Do), temperate continental (Dc), temperate with humid winters (Df), temperate with dry winters (Dw)</t>
  </si>
  <si>
    <t>Tree; sweet cherry</t>
  </si>
  <si>
    <t>Low: unmanaged; High: intensive orchard (Turkey/US)</t>
  </si>
  <si>
    <t>ERS; AHDB HDC; NSWDPI — tart cherry mechanical; sweet cherry hand</t>
  </si>
  <si>
    <t>1 cup cherries (~20 cherries)</t>
  </si>
  <si>
    <t>Young NSW, Stanthorpe QLD, Manjimup WA, Hahndorf SA, Huonville TAS — Nov–Jan</t>
  </si>
  <si>
    <t>NH: Jun–Aug (USA, Turkey, Europe)</t>
  </si>
  <si>
    <t>Freeze, preserve in syrup, or dry</t>
  </si>
  <si>
    <t>Chilli (Green)</t>
  </si>
  <si>
    <t>Chilli (chili), green, raw</t>
  </si>
  <si>
    <t>Capsicum frutescens</t>
  </si>
  <si>
    <t>cayenne pepper</t>
  </si>
  <si>
    <t>cayenne pepper, perennial pepper, pimenton, poivre rouge, cayennepfeffer, kajennepeppar, cayennepepper, pepe di caienna, kayenski pyerets, la-chiao, filfil ahmar, chilli, hot pepper, tabasco pepper, polo, boro ni vavalagi, rokete, brandrissie, mircha, te beneka, polo fifisi, Sili</t>
  </si>
  <si>
    <t>tropical wet &amp; dry (Aw), tropical wet (Ar), steppe or semiarid (Bs), subtropical humid (Cf), subtropical dry summer (Cs), subtropical dry winter (Cw)</t>
  </si>
  <si>
    <t>Annual/short-lived perennial</t>
  </si>
  <si>
    <t>Fresh weight; India/China commercial</t>
  </si>
  <si>
    <t>EXT India; NSWDPI; LIT</t>
  </si>
  <si>
    <t>½ cup cooked chilli; typically condiment</t>
  </si>
  <si>
    <t>QLD/NT year-round; NSW summer crop; peak Nov–Mar</t>
  </si>
  <si>
    <t>Freeze, dry, or ferment (hot sauce)</t>
  </si>
  <si>
    <t>1 wks – 24 mo</t>
  </si>
  <si>
    <t>Chilli (Red)</t>
  </si>
  <si>
    <t>Chilli (chili), red, raw</t>
  </si>
  <si>
    <t>Fresh weight; same crop harvested ripe</t>
  </si>
  <si>
    <t>EXT India; LIT</t>
  </si>
  <si>
    <t>Tropical QLD/NT; late summer as chilli matures on plant</t>
  </si>
  <si>
    <t>Dry, ferment, or freeze</t>
  </si>
  <si>
    <t>Choko (Chayote)</t>
  </si>
  <si>
    <t>Choko, peeled, fresh, raw</t>
  </si>
  <si>
    <t>Sechium edule</t>
  </si>
  <si>
    <t>chayote</t>
  </si>
  <si>
    <t>chayote, Madeira marrow, vegetable pear, zucchetta spinosa, cidrayota, gayota, chistophine, mirliton, chocho, chuchu, xuxu, machiche, machuchu (Brazil), papa del arie (Argentina), huisquil (Mexico), choko, Sioko</t>
  </si>
  <si>
    <t>vine</t>
  </si>
  <si>
    <t>annual, perennial</t>
  </si>
  <si>
    <t>home garden</t>
  </si>
  <si>
    <t>Vigorous climbing vine</t>
  </si>
  <si>
    <t>Prolific tropical vine; Mexico/Costa Rica</t>
  </si>
  <si>
    <t>EXT Mexico/Costa Rica; LIT — vigorous vine; prolific</t>
  </si>
  <si>
    <t>½ cup cooked choko</t>
  </si>
  <si>
    <t>Subtropical QLD/NSW — prolific in late summer–autumn</t>
  </si>
  <si>
    <t>NH: Sep–Dec (Mexico, Costa Rica)</t>
  </si>
  <si>
    <t>Cool/dry shed</t>
  </si>
  <si>
    <t>Cranberry</t>
  </si>
  <si>
    <t>Cranberry, raw</t>
  </si>
  <si>
    <t>Vaccinium macrocarpon</t>
  </si>
  <si>
    <t>Aiton</t>
  </si>
  <si>
    <t>cranberry</t>
  </si>
  <si>
    <t>cranberry, American cranberry, cultivated cranberry, large cranberry, large bearberry, arando de cultura, ronce d'Amérique, große Moosbeere, Kranbeere, arándano americano, arándano trepador</t>
  </si>
  <si>
    <t>vine, sub-shrub</t>
  </si>
  <si>
    <t>prostrate/procumbent/semi-erect</t>
  </si>
  <si>
    <t>steppe or semiarid (Bs), temperate oceanic (Do), temperate continental (Dc), temperate with humid winters (Df), temperate with dry winters (Dw)</t>
  </si>
  <si>
    <t>Trailing vine/ground cover</t>
  </si>
  <si>
    <t>Bog cultivation; US commercial average ~18 t/ha</t>
  </si>
  <si>
    <t>ERS; USDA NASS — wet harvest uses flooding; mech possible</t>
  </si>
  <si>
    <t>1 cup cranberries</t>
  </si>
  <si>
    <t>Very limited Australian production; southern VIC/TAS bogs; autumn harvest</t>
  </si>
  <si>
    <t>NH: Sep–Nov (USA/Canada — majority of global supply)</t>
  </si>
  <si>
    <t>2 wks – 12 mo</t>
  </si>
  <si>
    <t>1–2 months</t>
  </si>
  <si>
    <t>Cucumber</t>
  </si>
  <si>
    <t>Cucumber, common, peeled, raw</t>
  </si>
  <si>
    <t>Cucumis sativus</t>
  </si>
  <si>
    <t>cucumber</t>
  </si>
  <si>
    <t>cucumber, gherkin, concombre, huanggua, kiukaba, kukama (Tuvalu), khira, kiukamupa, Kukamba, cetriolo</t>
  </si>
  <si>
    <t>fruits &amp; nuts, vegetables, materials, medicinals &amp; aromatic</t>
  </si>
  <si>
    <t>home garden, small scale (manual), large scale/commercial, protected cultivation</t>
  </si>
  <si>
    <t>Vine; trailing or on trellis</t>
  </si>
  <si>
    <t>Field to greenhouse (Netherlands &gt;80 t/ha)</t>
  </si>
  <si>
    <t>Migration Dialogue 150h/ac; AHDB HDC; ERS</t>
  </si>
  <si>
    <t>½ cup sliced cucumber (raw salad vegetable)</t>
  </si>
  <si>
    <t>Warm-season; QLD year-round; NSW/VIC Oct–Apr; peak summer Dec–Mar</t>
  </si>
  <si>
    <t>NH: Jun–Sep</t>
  </si>
  <si>
    <t>Refrigerate; pickle/ferment</t>
  </si>
  <si>
    <t>Cumquat (Kumquat)</t>
  </si>
  <si>
    <t>Cumquat (kumquat), raw</t>
  </si>
  <si>
    <t>Fortunella hindsii</t>
  </si>
  <si>
    <t>(Champ. ex Brenth.) Swingle</t>
  </si>
  <si>
    <t>Magnoliopsida:Rosidae:Sapindales:Rutaceae</t>
  </si>
  <si>
    <t>dwarf kumquat</t>
  </si>
  <si>
    <t>dwarf kumquat, cumquate ana</t>
  </si>
  <si>
    <t>evergreen, single stem, multi stem</t>
  </si>
  <si>
    <t>tropical wet &amp; dry (Aw), tropical wet (Ar), subtropical humid (Cf), subtropical dry winter (Cw), temperate oceanic (Do)</t>
  </si>
  <si>
    <t>drought</t>
  </si>
  <si>
    <t>Small tree/shrub</t>
  </si>
  <si>
    <t>Small tree; limited commercial data</t>
  </si>
  <si>
    <t>Est. FAO</t>
  </si>
  <si>
    <t>EXT; LIT</t>
  </si>
  <si>
    <t>~10 kumquats</t>
  </si>
  <si>
    <t>NSW/VIC/QLD — winter citrus; June–August</t>
  </si>
  <si>
    <t>NH: Nov–Feb (Japan, Mediterranean)</t>
  </si>
  <si>
    <t>Jam, marmalade, or preserve whole</t>
  </si>
  <si>
    <t>2–4 weeks</t>
  </si>
  <si>
    <t>Custard Apple</t>
  </si>
  <si>
    <t>Custard apple, African pride, peeled, raw</t>
  </si>
  <si>
    <t>Annona reticulata</t>
  </si>
  <si>
    <t>custard apple</t>
  </si>
  <si>
    <t>custard apple, bullock's heart, sugar apple, anona, anona colodado, anona rosada, corazon, coracao de boi, cahuex, pox, qualtzapotl, tzimuy</t>
  </si>
  <si>
    <t>Small tropical tree</t>
  </si>
  <si>
    <t>India/SE Asia; low-input to managed</t>
  </si>
  <si>
    <t>NSWDPI; LIT</t>
  </si>
  <si>
    <t>~½ small custard apple</t>
  </si>
  <si>
    <t>Subtropical QLD — Feb–May; peak Mar–Apr</t>
  </si>
  <si>
    <t>NH: Sep–Dec (India, SE Asia)</t>
  </si>
  <si>
    <t>2–7 days</t>
  </si>
  <si>
    <t>Date Palm</t>
  </si>
  <si>
    <t>Dates (Deglet Noor)</t>
  </si>
  <si>
    <t>Phoenix dactylifera</t>
  </si>
  <si>
    <t>date palm</t>
  </si>
  <si>
    <t>date palm, palmier dattier, datte, kajoor, Dattel, Dattelpalme, dattero, palma datilera, palm - date, tamar, al nakheel, pokok korma, korma</t>
  </si>
  <si>
    <t>heavy, medium, light, wide</t>
  </si>
  <si>
    <t>high (&gt;10 dS/m))</t>
  </si>
  <si>
    <t>desert or arid (Bw), steppe or semiarid (Bs), subtropical dry summer (Cs)</t>
  </si>
  <si>
    <t>Low: traditional oasis; High: modern irrigated (Saudi/UAE)</t>
  </si>
  <si>
    <t>FAO MENA; LIT — climbing/hand-pollination; long harvest</t>
  </si>
  <si>
    <t>30g dried dates (≈4–5 dates); treat as dried fruit</t>
  </si>
  <si>
    <t>Arid inland SA/NT/WA — Birdsville, Coober Pedy region; Feb–May harvest</t>
  </si>
  <si>
    <t>NH: Sep–Nov (Middle East, North Africa)</t>
  </si>
  <si>
    <t>Dried — cool dry shelf</t>
  </si>
  <si>
    <t>6–24 months</t>
  </si>
  <si>
    <t>0–2 months</t>
  </si>
  <si>
    <t>Davidson Plum (Native)</t>
  </si>
  <si>
    <t>Plum, davidson (native), flesh</t>
  </si>
  <si>
    <t>Rainforest tree</t>
  </si>
  <si>
    <t>Native Australian; emerging commercial</t>
  </si>
  <si>
    <t>Aust. Govt</t>
  </si>
  <si>
    <t>Aust. Govt bush food; LIT</t>
  </si>
  <si>
    <t>1 cup davidson plums</t>
  </si>
  <si>
    <t>FNQ and northern NSW rainforest; late summer–autumn</t>
  </si>
  <si>
    <t>Australian endemic — no NH equivalent</t>
  </si>
  <si>
    <t>Freeze, jam, or dry</t>
  </si>
  <si>
    <t>Durian</t>
  </si>
  <si>
    <t>Durio zibethinus</t>
  </si>
  <si>
    <t>Murray</t>
  </si>
  <si>
    <t>Magnoliopsida:Dilleniidae:Malvales:Bombacaceae</t>
  </si>
  <si>
    <t>Durio acuminatissima Merr. (1926)</t>
  </si>
  <si>
    <t>durian</t>
  </si>
  <si>
    <t>durian, duren, ambetan, kadu, dulian, du-yin, thu-réén, thourièn, thurian, thu-rian, rian, sâù riêng</t>
  </si>
  <si>
    <t>tropical wet (Ar)</t>
  </si>
  <si>
    <t>wind, drought</t>
  </si>
  <si>
    <t>small scale (manual)</t>
  </si>
  <si>
    <t>SE Asia; unmanaged to intensive</t>
  </si>
  <si>
    <t>FAO SE Asia; LIT</t>
  </si>
  <si>
    <t>~150g durian flesh</t>
  </si>
  <si>
    <t>Very limited FNQ production; tropical summer fruiting</t>
  </si>
  <si>
    <t>NH: Jun–Aug (Thailand) and Nov–Feb (Malaysia)</t>
  </si>
  <si>
    <t>Freeze flesh</t>
  </si>
  <si>
    <t>Eggplant</t>
  </si>
  <si>
    <t>Eggplant, unpeeled, fresh, raw</t>
  </si>
  <si>
    <t>Solanum melongena</t>
  </si>
  <si>
    <t>Solanum melongena esculentum</t>
  </si>
  <si>
    <t>eggplant</t>
  </si>
  <si>
    <t>eggplant, aubergine, brinjal, badinjan, jew's apple, mad apple, melongene, melanzana, baijani, baigan, beringela, jiloeiro, jilo', gilo', berenjena, paigani, paegani (Tuvalu), gaigani, eiervrug, kathiri (tamil), vazhudhanaikkai (malayalam)</t>
  </si>
  <si>
    <t>tropical wet &amp; dry (Aw), tropical wet (Ar), desert or arid (Bw), steppe or semiarid (Bs), subtropical humid (Cf), subtropical dry summer (Cs), subtropical dry winter (Cw), temperate oceanic (Do), temperate continental (Dc), temperate with humid winters (Df), temperate with dry winters (Dw)</t>
  </si>
  <si>
    <t>Tropical to Mediterranean commercial</t>
  </si>
  <si>
    <t>EXT; NSWDPI; LIT</t>
  </si>
  <si>
    <t>½ cup cooked eggplant</t>
  </si>
  <si>
    <t>Warm-season QLD/NSW — Oct–Apr; peak summer</t>
  </si>
  <si>
    <t>Refrigerate; roast and freeze; pickle</t>
  </si>
  <si>
    <t>Feijoa</t>
  </si>
  <si>
    <t>Feijoa, raw</t>
  </si>
  <si>
    <t>Feijoa sellowiana</t>
  </si>
  <si>
    <t>Berg.</t>
  </si>
  <si>
    <t>Feijoa sellowiana var. rugosa Mattos</t>
  </si>
  <si>
    <t>feijoa</t>
  </si>
  <si>
    <t>feijoa, pineapple guava, Brazilian guava, mountain guava, fig guava, guavasteen, New Zealand banana, guayabo del pais, guayabo grande, guayabo chico, goiaba serrana, goiaba verde, goiaba abacaxí</t>
  </si>
  <si>
    <t>fruits &amp; nuts, ornamentals/turf, environmental</t>
  </si>
  <si>
    <t>tropical wet &amp; dry (Aw), steppe or semiarid (Bs), subtropical humid (Cf), subtropical dry summer (Cs), subtropical dry winter (Cw), temperate oceanic (Do)</t>
  </si>
  <si>
    <t>coastal salt spray</t>
  </si>
  <si>
    <t>Shrub/small tree</t>
  </si>
  <si>
    <t>NZ/Australia; managed orchard</t>
  </si>
  <si>
    <t>NZ Horticulture</t>
  </si>
  <si>
    <t>NZ Horticulture; NSWDPI; LIT</t>
  </si>
  <si>
    <t>2–3 small feijoas</t>
  </si>
  <si>
    <t>SE QLD/NSW Northern Rivers, VIC — autumn; March–June</t>
  </si>
  <si>
    <t>NH: Oct–Dec (New Zealand primary producer)</t>
  </si>
  <si>
    <t>Refrigerate; jam or chutney</t>
  </si>
  <si>
    <t>Fig</t>
  </si>
  <si>
    <t>Fig, fresh, unpeeled, raw</t>
  </si>
  <si>
    <t>Ficus carica</t>
  </si>
  <si>
    <t>common fig</t>
  </si>
  <si>
    <t>common fig, fig, Turkey fig, te biku, fico, Feige, figue, figo, figueira mansa, higo, etse-beles, arbre, ficus</t>
  </si>
  <si>
    <t>deciduous, single stem, multi stem, C3 photosynthesis</t>
  </si>
  <si>
    <t>fruits &amp; nuts, ornamentals/turf, medicinals &amp; aromatic</t>
  </si>
  <si>
    <t>Tree/large shrub</t>
  </si>
  <si>
    <t>Turkey/Mediterranean; dryland to irrigated</t>
  </si>
  <si>
    <t>ERS; NSWDPI; FAO Mediterranean</t>
  </si>
  <si>
    <t>2 medium fresh figs; or 30g dried fig</t>
  </si>
  <si>
    <t>Riverland SA, Mildura VIC, Swan Valley WA — Jan–Mar main crop; some second crop May–Jun</t>
  </si>
  <si>
    <t>NH: Aug–Oct (Turkey, Mediterranean)</t>
  </si>
  <si>
    <t>Dry, jam, or preserve</t>
  </si>
  <si>
    <t>0 wks – 18 mo</t>
  </si>
  <si>
    <t>Gooseberry</t>
  </si>
  <si>
    <t>Gooseberries</t>
  </si>
  <si>
    <t>Ribes uva-crispa</t>
  </si>
  <si>
    <t>Ribes grossularia L.</t>
  </si>
  <si>
    <t>gooseberry</t>
  </si>
  <si>
    <t>gooseberry, stikkelsbær, stachelbeere</t>
  </si>
  <si>
    <t>heavy</t>
  </si>
  <si>
    <t>UK/EU commercial; fresh &amp; processing</t>
  </si>
  <si>
    <t>AHDB HDC; LIT</t>
  </si>
  <si>
    <t>1 cup gooseberries</t>
  </si>
  <si>
    <t>Cool-climate TAS/VIC/NSW highlands — summer; Nov–Feb</t>
  </si>
  <si>
    <t>NH: Jun–Aug (UK, Germany)</t>
  </si>
  <si>
    <t>2–3 weeks</t>
  </si>
  <si>
    <t>Grape</t>
  </si>
  <si>
    <t>Grape, green, raw</t>
  </si>
  <si>
    <t>Vitis vinifera</t>
  </si>
  <si>
    <t>Magnoliopsida:Rosidae:Rhamnales:Vitaceae</t>
  </si>
  <si>
    <t>grape</t>
  </si>
  <si>
    <t>grape, raisin, grappe, uva, videira, vinha, vindrue, buah anggur, auggut, ubas, sa-pyit, tra pèang baay chum, angunx, artgun, nho, Traube, Weintraube, Vitis viniferae folium, enab, vite</t>
  </si>
  <si>
    <t>vine, shrub</t>
  </si>
  <si>
    <t>tropical wet &amp; dry (Aw), steppe or semiarid (Bs), subtropical dry summer (Cs), temperate oceanic (Do), temperate continental (Dc)</t>
  </si>
  <si>
    <t>large scale/commercial</t>
  </si>
  <si>
    <t>Vine; height on trellis; spread = row width</t>
  </si>
  <si>
    <t>Low: traditional wine; High: table grape irrigated</t>
  </si>
  <si>
    <t>FAOSTAT QCL; OIV</t>
  </si>
  <si>
    <t>ERS grapes; OIV; AHDB; NSWDPI — pruning critical</t>
  </si>
  <si>
    <t>1 cup grapes (~25 grapes)</t>
  </si>
  <si>
    <t>Sunraysia VIC/NSW, Barossa SA, Swan Valley WA, Hunter NSW — Jan–Apr; table grapes Feb–Mar</t>
  </si>
  <si>
    <t>NH: Aug–Oct (Europe, California)</t>
  </si>
  <si>
    <t>Cool store; dry (raisins); wine/juice; jam</t>
  </si>
  <si>
    <t>2 wks – 24 mo</t>
  </si>
  <si>
    <t>Grapefruit</t>
  </si>
  <si>
    <t>Grapefruit, pink flesh, peeled, raw</t>
  </si>
  <si>
    <t>Citrus paradisi</t>
  </si>
  <si>
    <t>Macf.</t>
  </si>
  <si>
    <t>Citrus &lt;U+25CA&gt; paradisi Macf., Citrus decumana L. var. racemosa Roere. (1846), Citrus grandis (L.) Osbeck var. racemosa (Roem.) B.C. Stone (1985).</t>
  </si>
  <si>
    <t>grapefruit</t>
  </si>
  <si>
    <t>grapefruit, pomelo, pamplemousse, limau gedang, moli sisuka, moli peli, muli, krooch thlong, kiengz s'aangz, cam, bu'o'i, pompelmo, Paradisapfel, toranja, jamboa, turingia, toronja, grapefrugt</t>
  </si>
  <si>
    <t>tropical wet &amp; dry (Aw), tropical wet (Ar), steppe or semiarid (Bs), subtropical dry summer (Cs)</t>
  </si>
  <si>
    <t>Tree</t>
  </si>
  <si>
    <t>Low: rainfed subtropics; High: irrigated USA/SA</t>
  </si>
  <si>
    <t>ERS citrus; NSWDPI</t>
  </si>
  <si>
    <t>½ large grapefruit</t>
  </si>
  <si>
    <t>Riverland SA, Sunraysia VIC/NSW, Carnarvon WA — winter citrus; Jun–Oct</t>
  </si>
  <si>
    <t>NH: Nov–Apr (Florida, Israel)</t>
  </si>
  <si>
    <t>Cool room or refrigerate</t>
  </si>
  <si>
    <t>Guava</t>
  </si>
  <si>
    <t>Guava, Hawaiian, raw</t>
  </si>
  <si>
    <t>Psidium guajava</t>
  </si>
  <si>
    <t>Magnoliopsida:Rosidae:Myrtales:Myrtaceae</t>
  </si>
  <si>
    <t>guava</t>
  </si>
  <si>
    <t>guava, guayaba, goyave, goyavier, goiaba, goeajaaba, Guave, jambu batu, bayabas, guyabas, trapaek sruk, si da, farang, fa-rahng, ma-kuai, ma-man, oi, kuava, amrut, kautoga, kua'va, zeitun</t>
  </si>
  <si>
    <t>fruits &amp; nuts, forest/wood, environmental, weed</t>
  </si>
  <si>
    <t>poorly (saturated &gt;50% of year), well (dry spells), excessive (dry/moderately dry)</t>
  </si>
  <si>
    <t>can become a weed</t>
  </si>
  <si>
    <t>India/SE Asia; commercial managed</t>
  </si>
  <si>
    <t>NSWDPI; FAO India; EXT</t>
  </si>
  <si>
    <t>1 medium guava</t>
  </si>
  <si>
    <t>Subtropical QLD/NSW — Feb–Jun; peak Autumn</t>
  </si>
  <si>
    <t>NH: Nov–Mar (India, SE Asia)</t>
  </si>
  <si>
    <t>Jam, paste, or freeze</t>
  </si>
  <si>
    <t>Jackfruit</t>
  </si>
  <si>
    <t>Jackfruit, peeled, raw</t>
  </si>
  <si>
    <t>Artocarpus heterophyllus</t>
  </si>
  <si>
    <t>Lam.</t>
  </si>
  <si>
    <t>Artocarpus philippensis Lamk (1789), Artocarpus brasiliensis Gomez (1812), Artocarpus maxima Blanco (1837)., Artocarpus integer (Thunb.) Merrill, Artocarpus integrifolia auct., Artocarpus integrifolia L.F &amp; A. integra Merr., Artocarpus integrifolia L.F, Artocarpus integra Merr.</t>
  </si>
  <si>
    <t>jack fruit</t>
  </si>
  <si>
    <t>jack fruit, jackfruit, jacquiet, nangka, nongko, kapiak, langka, peignai, khnadr, miiz, miiz hnang, khanun, makmi, banun, mít, Mfenesi</t>
  </si>
  <si>
    <t>drought, flooding</t>
  </si>
  <si>
    <t>South/SE Asia; large fruit mass</t>
  </si>
  <si>
    <t>FAO; FAOSTAT</t>
  </si>
  <si>
    <t>FAO Asia; LIT — large fruit, heavy</t>
  </si>
  <si>
    <t>1 cup diced jackfruit</t>
  </si>
  <si>
    <t>Tropical FNQ — spring–early summer; Sep–Jan</t>
  </si>
  <si>
    <t>NH: Jun–Sep (Bangladesh, India, Thailand)</t>
  </si>
  <si>
    <t>Refrigerate; freeze segments</t>
  </si>
  <si>
    <t>Kiwifruit (Gold)</t>
  </si>
  <si>
    <t>Kiwifruit, gold, peeled, raw</t>
  </si>
  <si>
    <t>Actinidia chinensis</t>
  </si>
  <si>
    <t>Magnoliopsida:Dilleniidae:Ericales:Actinidiaceae</t>
  </si>
  <si>
    <t>Chinese gooseberry</t>
  </si>
  <si>
    <t>Chinese gooseberry, Kiwifruit</t>
  </si>
  <si>
    <t>Vine; height of cane on trellis; spread is trained length</t>
  </si>
  <si>
    <t>NZ/Italy; managed trellis; similar to Green</t>
  </si>
  <si>
    <t>NZ Horticulture; LIT</t>
  </si>
  <si>
    <t>2 small gold kiwifruit</t>
  </si>
  <si>
    <t>Subtropical QLD, NSW — Apr–Jun; earlier than green</t>
  </si>
  <si>
    <t>NH: Oct–Dec (New Zealand/Italy dominant)</t>
  </si>
  <si>
    <t>Refrigerate; freeze sliced</t>
  </si>
  <si>
    <t>Kiwifruit (Green)</t>
  </si>
  <si>
    <t>Kiwifruit, green (hayward), peeled, raw</t>
  </si>
  <si>
    <t>NZ: ~30 t/ha commercial; Italy/China lower</t>
  </si>
  <si>
    <t>NZ Horticulture; ERS; NSWDPI</t>
  </si>
  <si>
    <t>2 small kiwifruit</t>
  </si>
  <si>
    <t>Tropical QLD, NSW Northern Rivers — Apr–Aug; peak May–Jul</t>
  </si>
  <si>
    <t>NH: Nov–Jan (New Zealand/Italy)</t>
  </si>
  <si>
    <t>Refrigerate</t>
  </si>
  <si>
    <t>Lemon</t>
  </si>
  <si>
    <t>Lemon, peeled, raw</t>
  </si>
  <si>
    <t>Citrus limon</t>
  </si>
  <si>
    <t>(L.) Burm. f.</t>
  </si>
  <si>
    <t>Citrus limonum Risso, Citrus limonia Osbeck, Citrus medica var. limonium Brandis</t>
  </si>
  <si>
    <t>lemon</t>
  </si>
  <si>
    <t>lemon, standard lemon, acid lemon, Meyer lemon, bush lemon, Persian apple, citron, citronnier, limonier, limao, limoeiro, limón, limón agria, limonero, limón real, limón francés, limon amarillo, limone, citroen, Zitrone, jeruk limun, limau nipis, limau mata, krooch chhmaa veeng, naaw th'eed, naaw falang, manao-thet, manao-farang, manao-mairuho, chanh tay, moli karokaro, molisoraiara, molinivmalagi, khatta nabbu, khatto nabbu, tipolo, lemani, moli'ovi'ovia, moli patupatu, lain, muli</t>
  </si>
  <si>
    <t>fruits &amp; nuts, materials, medicinals &amp; aromatic</t>
  </si>
  <si>
    <t>tropical wet &amp; dry (Aw), steppe or semiarid (Bs), subtropical humid (Cf), subtropical dry summer (Cs), subtropical dry winter (Cw)</t>
  </si>
  <si>
    <t>Mediterranean to intensive irrigated</t>
  </si>
  <si>
    <t>used as flavouring; juice of 1 lemon ~50g</t>
  </si>
  <si>
    <t>NH: Oct–Mar (Spain, California)</t>
  </si>
  <si>
    <t>Cool room; juice and freeze; preserve</t>
  </si>
  <si>
    <t>Lime</t>
  </si>
  <si>
    <t>Lime, peeled, raw</t>
  </si>
  <si>
    <t>Citrus aurantifolia</t>
  </si>
  <si>
    <t>(Christm.) Swingle</t>
  </si>
  <si>
    <t>Limonia aurantifolia Christre. &amp; Panzer (1777), Citrus javanica Blume (1825), Citrus notissima Blanco (1837), Citrus acida Roxb., Citrus hystrix ssp. acida (Roxb.) Engl., Citrus lima Lunan, Citrus limetta var. aromatica Wester, Citrus medica var. acida (Roxb.) Hook. f., Limonia aurantiifolia Christm. [basionym]</t>
  </si>
  <si>
    <t>Key lime</t>
  </si>
  <si>
    <t>Key lime, acid lime, Mexican lime, sour lime, West Indian lime, lime tree, common lime, lime acide, limettier, citron vert, limoo, doc, lima, limón ceutí, lima ácida, tipolo, Limette, Limettenbaum, Limone, saure Limette, saure Limonette, Limonelle, kagzi mimboo, jeruk nipis, jeruk pecel, limau asam, limau nipis, mull, dayap, krooch chhmaa muul, naaw, somma nao, manao, cbanh, chanh ta, muli, sipora, arani (Cooks), moli, molie, moli laimi, laimi, nabbu kaghdi, te raim (Kiribati), moli tipolo, Omani lime (Oman), kaghzi nimba, baladi lemon (Egypt), gallego (Brazil)</t>
  </si>
  <si>
    <t>Tropical production; Mexico/India</t>
  </si>
  <si>
    <t>ERS citrus</t>
  </si>
  <si>
    <t>juice of 2 limes ~60g; typically a condiment</t>
  </si>
  <si>
    <t>Tropical QLD/NT; Carnarvon WA — year-round in tropics; peak autumn–winter</t>
  </si>
  <si>
    <t>NH: Oct–Feb (Mexico, India)</t>
  </si>
  <si>
    <t>Refrigerate; juice and freeze; preserve</t>
  </si>
  <si>
    <t>2–6 weeks</t>
  </si>
  <si>
    <t>Longan</t>
  </si>
  <si>
    <t>Longans</t>
  </si>
  <si>
    <t>Dimocarpus longan var. longan</t>
  </si>
  <si>
    <t>Lour.</t>
  </si>
  <si>
    <t>Magnoliopsida:Rosidae:Sapindales:Sapindaceae</t>
  </si>
  <si>
    <t>Euphoria longan Steud., Euphoria longana Lamk (1792), Nephelium longana Cambess.</t>
  </si>
  <si>
    <t>longan</t>
  </si>
  <si>
    <t>longan, longanie, oeil de dragon, len keng, kyet mouk, mien, lam nhai, nam nhai, lamyai pa, lahm-yai, nam:nhan</t>
  </si>
  <si>
    <t>evergreen</t>
  </si>
  <si>
    <t>fruits &amp; nuts, ornamentals/turf, medicinals &amp; aromatic, environmental</t>
  </si>
  <si>
    <t>tropical wet &amp; dry (Aw), tropical wet (Ar), subtropical humid (Cf), subtropical dry winter (Cw)</t>
  </si>
  <si>
    <t>wind</t>
  </si>
  <si>
    <t>SE Asia/China; managed orchard</t>
  </si>
  <si>
    <t>NSWDPI; LIT SE Asia</t>
  </si>
  <si>
    <t>1 cup longan flesh</t>
  </si>
  <si>
    <t>Subtropical FNQ (Atherton Tableland) — Jan–Mar; sometimes two crops</t>
  </si>
  <si>
    <t>NH: Jul–Sep (Thailand, China)</t>
  </si>
  <si>
    <t>Refrigerate; dry or freeze</t>
  </si>
  <si>
    <t>Loquat</t>
  </si>
  <si>
    <t>Loquat, peeled, raw</t>
  </si>
  <si>
    <t>Eriobotrya japonica</t>
  </si>
  <si>
    <t>(Thunb.) Lindl.</t>
  </si>
  <si>
    <t>Mespilus japonica Thunb., Photinia japonica, Eryobotria japonica</t>
  </si>
  <si>
    <t>loquat</t>
  </si>
  <si>
    <t>loquat, Japanese medlar, Japanese plum, neflier du Japon, nispereros, nespolo, Mispel, lokwat, papalaan, ton leap, lokh-wot, pee-pae, ti ba diep, so'n tra nhatban', nhot tay, biwa</t>
  </si>
  <si>
    <t>single stem, multi stem</t>
  </si>
  <si>
    <t>tropical wet &amp; dry (Aw), tropical wet (Ar), subtropical humid (Cf), subtropical dry summer (Cs), temperate oceanic (Do)</t>
  </si>
  <si>
    <t>China/Japan/Mediterranean</t>
  </si>
  <si>
    <t>LIT Mediterranean/Japan; EXT</t>
  </si>
  <si>
    <t>4–5 medium loquats</t>
  </si>
  <si>
    <t>Subtropical QLD/NSW — spring harvest; Sep–Nov</t>
  </si>
  <si>
    <t>NH: Mar–May (Japan, Mediterranean)</t>
  </si>
  <si>
    <t>Refrigerate; jam</t>
  </si>
  <si>
    <t>Lychee</t>
  </si>
  <si>
    <t>Lychee, peeled, raw</t>
  </si>
  <si>
    <t>Litchi chinensis</t>
  </si>
  <si>
    <t>Sonn.</t>
  </si>
  <si>
    <t>Litchi sinensis Radik, Nephelium litchi Cambess</t>
  </si>
  <si>
    <t>litchi</t>
  </si>
  <si>
    <t>litchi, lychee, lin-chee</t>
  </si>
  <si>
    <t>evergreen, single stem, C3 photosynthesis</t>
  </si>
  <si>
    <t>fruits &amp; nuts, materials, ornamentals/turf, medicinals &amp; aromatic, forest/wood, environmental</t>
  </si>
  <si>
    <t>tropical wet &amp; dry (Aw), subtropical humid (Cf), subtropical dry summer (Cs), subtropical dry winter (Cw)</t>
  </si>
  <si>
    <t>Alternate bearing; China/SE Asia</t>
  </si>
  <si>
    <t>NSWDPI; LIT China/SE Asia</t>
  </si>
  <si>
    <t>~10 lychees peeled</t>
  </si>
  <si>
    <t>Subtropical QLD (Moreton Bay, Atherton Tableland) — Nov–Jan; peak Dec</t>
  </si>
  <si>
    <t>NH: Jun–Aug (China, Thailand)</t>
  </si>
  <si>
    <t>Mandarin</t>
  </si>
  <si>
    <t>Mandarin, peeled, raw</t>
  </si>
  <si>
    <t>Citrus reticulata</t>
  </si>
  <si>
    <t>Blanco</t>
  </si>
  <si>
    <t>Citrus nobilis, Citrus reshni Hort. ex Tan.</t>
  </si>
  <si>
    <t>mandarin</t>
  </si>
  <si>
    <t>mandarin, tangerine, Cleopatra mandarin, clementine, Satsuma orange, kid-glove orange, mandarinier, moli madarini, madarini, Mandarinenbaum, jeruk keprok, jeruk jepun, jeruk maseh, limau lang-kat, limau kupas, limau wangkang, sintones, krauch kvich, som hot, som lot, liou, tangerina, tangerineira, som khieo waan, som saengthong, ma baang, cam sanh, cay quit, narangi, nartjie, naartjie, moli saina, moli peli</t>
  </si>
  <si>
    <t>Mediterranean/China; clementines 20-35 t/ha commercial</t>
  </si>
  <si>
    <t>1 medium mandarin</t>
  </si>
  <si>
    <t>Riverland SA, Sunraysia VIC/NSW, Gayndah QLD — winter citrus; May–Sep</t>
  </si>
  <si>
    <t>NH: Nov–Mar (China, Spain, Japan)</t>
  </si>
  <si>
    <t>Mango</t>
  </si>
  <si>
    <t>Mango, peeled, raw</t>
  </si>
  <si>
    <t>Mangifera indica</t>
  </si>
  <si>
    <t>Magnoliopsida:Rosidae:Sapindales:Anacardiaceae</t>
  </si>
  <si>
    <t>Mangifera amba Forsk., Mangifera domestica Gaertn., Mangifera gladiata Boj., Mangifera racemosa Boj., Mangifera rubra Boj.</t>
  </si>
  <si>
    <t>mango</t>
  </si>
  <si>
    <t>mango, mango tree, manguier, mangue, Mangobaum, am, mago, veselperske, manga, mangueira, ambo, mangga, mempelam, ampelam, mwàngx, mamuang, ma-muang, xoài, tharyetthi, svaay, asai, lebu (Simbo), rereke (Roviana), mengo</t>
  </si>
  <si>
    <t>tropical wet &amp; dry (Aw), tropical wet (Ar), desert or arid (Bw), steppe or semiarid (Bs), subtropical dry summer (Cs)</t>
  </si>
  <si>
    <t>Low: unirrigated; High: irrigated commercial (India/Mexico)</t>
  </si>
  <si>
    <t>ERS; NSWDPI; FAO India/Mexico</t>
  </si>
  <si>
    <t>1 cup diced mango (~½ large mango)</t>
  </si>
  <si>
    <t>Kununurra WA starts Oct; Darwin NT Nov; QLD Nov–Jan; peak Dec (Kensington Pride)</t>
  </si>
  <si>
    <t>NH: Apr–Jul (India, Mexico, Thailand)</t>
  </si>
  <si>
    <t>Freeze, dry, chutney, or pickle</t>
  </si>
  <si>
    <t>Mangosteen</t>
  </si>
  <si>
    <t>Mangosteen Canned Syrup Pack</t>
  </si>
  <si>
    <t>Garcinia mangostana</t>
  </si>
  <si>
    <t>Magnoliopsida:Dilleniidae:Guttiferales:Guttiferae</t>
  </si>
  <si>
    <t>Mangostana garcinia Gaertner</t>
  </si>
  <si>
    <t>mangosteen</t>
  </si>
  <si>
    <t>mangosteen, dodol, king's-fruit, mangoustanier, mangostan, mangostao, mangusto, mangostane, mangoestan, manggis, settorr, mesetor, semetah, sementah, manggustan, mongkhut, kadiis, kanabla, mangkhud, mang khut, mahng-koot, mangustai, cay mang cut, mang cut</t>
  </si>
  <si>
    <t>Slow-growing tropical tree</t>
  </si>
  <si>
    <t>Slow-bearing tropical tree; SE Asia</t>
  </si>
  <si>
    <t>3–4 mangosteens</t>
  </si>
  <si>
    <t>Very limited FNQ tropical production; summer fruiting</t>
  </si>
  <si>
    <t>NH: May–Sep (Thailand, Indonesia)</t>
  </si>
  <si>
    <t>Melon (Honeydew)</t>
  </si>
  <si>
    <t>Melon, honey dew, peeled, raw</t>
  </si>
  <si>
    <t>Vine; trailing; spread on ground</t>
  </si>
  <si>
    <t>Field to greenhouse production</t>
  </si>
  <si>
    <t>ERS; Migration Dialogue</t>
  </si>
  <si>
    <t>1 cup diced honeydew</t>
  </si>
  <si>
    <t>QLD/WA Carnarvon — summer–early autumn; Nov–Mar</t>
  </si>
  <si>
    <t>NH: Jul–Sep (Spain, USA)</t>
  </si>
  <si>
    <t>Cool/dark room</t>
  </si>
  <si>
    <t>Melon (Rockmelon/Cantaloupe)</t>
  </si>
  <si>
    <t>Melon, rockmelon, peeled, raw</t>
  </si>
  <si>
    <t>Vine; trailing</t>
  </si>
  <si>
    <t>USA/Spain commercial; open field</t>
  </si>
  <si>
    <t>ERS; USDA NASS; Migration Dialogue</t>
  </si>
  <si>
    <t>1 cup diced rockmelon</t>
  </si>
  <si>
    <t>Carnarvon WA, QLD — summer; Nov–Mar</t>
  </si>
  <si>
    <t>NH: Jun–Sep (France, USA)</t>
  </si>
  <si>
    <t>Mulberry</t>
  </si>
  <si>
    <t>Mulberry, raw</t>
  </si>
  <si>
    <t>Morus nigra</t>
  </si>
  <si>
    <t>black mulberry</t>
  </si>
  <si>
    <t>black mulberry, murier noir, gelso, maulbeerbaum, amoreira preta, mora negra</t>
  </si>
  <si>
    <t>tropical wet &amp; dry (Aw), steppe or semiarid (Bs), subtropical humid (Cf), subtropical dry summer (Cs), subtropical dry winter (Cw), temperate oceanic (Do), temperate continental (Dc)</t>
  </si>
  <si>
    <t>Tree; black mulberry</t>
  </si>
  <si>
    <t>Fruit production; separate from leaf (sericulture)</t>
  </si>
  <si>
    <t>LIT; EXT — fruit drops; labour to collect</t>
  </si>
  <si>
    <t>1 cup mulberries</t>
  </si>
  <si>
    <t>Warm-temperate NSW/VIC/SA — spring–early summer; Oct–Dec</t>
  </si>
  <si>
    <t>NH: May–Jul</t>
  </si>
  <si>
    <t>0 wks – 12 mo</t>
  </si>
  <si>
    <t>1–3 days</t>
  </si>
  <si>
    <t>Naranjilla</t>
  </si>
  <si>
    <t>Naranjilla (Lulo) Pulp Frozen Unsweetened</t>
  </si>
  <si>
    <t>Solanum quitoense</t>
  </si>
  <si>
    <t>Lamarck</t>
  </si>
  <si>
    <t>Solanum angulatum Lam., Solanum hirsutissimum</t>
  </si>
  <si>
    <t>naranjilla</t>
  </si>
  <si>
    <t>naranjilla, little orange, Quito orange, lulo, morelle de Quito, orange de Quito, quitoense, naranjilla de Quito, nuqui, naranjita de Quito, lulun, toronja, laranjitas de Quito, lulo frucht, lulu puscolulu, lulum (Inca)</t>
  </si>
  <si>
    <t>fruits &amp; nuts, ornamentals/turf</t>
  </si>
  <si>
    <t>Andean fruit; Ecuador/Colombia</t>
  </si>
  <si>
    <t>FAO Ecuador/Colombia; LIT</t>
  </si>
  <si>
    <t>1–2 naranjillas</t>
  </si>
  <si>
    <t>Subtropical QLD — autumn; Feb–Jun</t>
  </si>
  <si>
    <t>NH: Sep–Dec (Ecuador, Colombia)</t>
  </si>
  <si>
    <t>Refrigerate; freeze juice</t>
  </si>
  <si>
    <t>Native Lime (Finger Lime)</t>
  </si>
  <si>
    <t>Lime, native, fruit</t>
  </si>
  <si>
    <t>Australian native; premium niche market</t>
  </si>
  <si>
    <t>Aust. Govt bush food; LIT — very small fruit, hand-picked, premium</t>
  </si>
  <si>
    <t>~5–8 finger limes (pulp only)</t>
  </si>
  <si>
    <t>Northern NSW/SE QLD rainforest; May–Aug; also small spring crop</t>
  </si>
  <si>
    <t>Refrigerate; freeze</t>
  </si>
  <si>
    <t>Nectarine</t>
  </si>
  <si>
    <t>Nectarine, yellow, unpeeled, raw</t>
  </si>
  <si>
    <t>Tree; same as peach</t>
  </si>
  <si>
    <t>Same production as peach; stone fruit</t>
  </si>
  <si>
    <t>ERS stone fruit; NSWDPI</t>
  </si>
  <si>
    <t>1 medium nectarine</t>
  </si>
  <si>
    <t>Same season as peach; Riverland SA, Sunraysia VIC — Nov–Feb</t>
  </si>
  <si>
    <t>Freeze, bottle, or dry</t>
  </si>
  <si>
    <t>Orange</t>
  </si>
  <si>
    <t>Orange, peeled, raw</t>
  </si>
  <si>
    <t>Citrus sinensis</t>
  </si>
  <si>
    <t>(L.) Osbeck</t>
  </si>
  <si>
    <t>Citrus aurantium L. (var.) sinensis L. (1753).</t>
  </si>
  <si>
    <t>orange</t>
  </si>
  <si>
    <t>orange, sweet orange, Valencia orange, oranger, oranger doux, birtukan, Apfelsine, jeruk manis, arancio, laranja doce, laranja vulgar, laranja-pera, naranja, limau manis, chula, choreng, sava orens, kahel, tung-chin-thi, krooch poosat, kiengz, somkliang, somtra, makhun, cam, mitha nimbu, moli 'aina, moli kai, Molilecau, Moliunumi, Molinitaiti, Molitaiti, Mol, Arani (Cook I), Olenisi (Tuvalu), Swit muli</t>
  </si>
  <si>
    <t>Brazil/USA commercial high; low = smallholder</t>
  </si>
  <si>
    <t>1 medium orange</t>
  </si>
  <si>
    <t>Riverland SA, Sunraysia VIC/NSW — winter–spring navel; summer Valencia Jun–Sep</t>
  </si>
  <si>
    <t>NH: Dec–Mar (navel from Spain/California)</t>
  </si>
  <si>
    <t>Cool room; juice and freeze; marmalade</t>
  </si>
  <si>
    <t>Passionfruit</t>
  </si>
  <si>
    <t>Passionfruit, raw</t>
  </si>
  <si>
    <t>Passiflora edulis</t>
  </si>
  <si>
    <t>Sims</t>
  </si>
  <si>
    <t>Magnoliopsida:Dilleniidae:Violales:Passifloraceae</t>
  </si>
  <si>
    <t>passionfruit</t>
  </si>
  <si>
    <t>passionfruit, yellow passion fruit, purple passion fruit, sweet cup, granadilla, parcha, parchita, parchita maracuyá, maracuyá púrpura, granadilla china, parcha morada, parcha de monte, curuba redonda, gulupa, ceibey, fruit de la passion, pomme-liane violette, grenadille, couzou, maracujá, maracujá peroba, maracujá comúm, maracujá de comer, maracujá de doce, maracuja' de garapa, maracujá de ponche, maracuja' mirim, maracujá pequeno, maracujá redondo, maracuja' roxo, Passionsfrucht, passionfrukt, passie, buah negeri, buah susu, markisa, pasionaria, maraflora, linmangkon, not, benchawan, chùm bap</t>
  </si>
  <si>
    <t>evergreen, multi stem</t>
  </si>
  <si>
    <t>tropical wet &amp; dry (Aw), tropical wet (Ar), subtropical humid (Cf), subtropical dry summer (Cs)</t>
  </si>
  <si>
    <t>Vine; height on fence/trellis</t>
  </si>
  <si>
    <t>Tropical vine; Kenya/Brazil commercial</t>
  </si>
  <si>
    <t>NSWDPI; EXT Kenya/Colombia; LIT</t>
  </si>
  <si>
    <t>~4 passionfruit (pulp only ~60g); 1 cup mixed fruit</t>
  </si>
  <si>
    <t>Subtropical QLD/NSW — two crops: March–May and Aug–Nov; autumn is peak</t>
  </si>
  <si>
    <t>NH: Oct–Mar (Kenya, Ecuador, Colombia)</t>
  </si>
  <si>
    <t>Freeze pulp or make curd</t>
  </si>
  <si>
    <t>Pawpaw / Papaya</t>
  </si>
  <si>
    <t>Pawpaw (papaya), peeled, raw</t>
  </si>
  <si>
    <t>Carica papaya</t>
  </si>
  <si>
    <t>Magnoliopsida:Dilleniidae:Violales:Caricaceae</t>
  </si>
  <si>
    <t>Papaya carica Gaertn.</t>
  </si>
  <si>
    <t>papaya</t>
  </si>
  <si>
    <t>papaya, pawpaw, melon tree, papayier, arbre de melon, gedang, kates, betek, ketalah, kapaya, lapaya, thimbaw, lhong, doeum lahong, houng, malakor, loko, ma kuai thet, du du, esi, weleti, lesi, te papaya (Kiribati), loku(Niue), minita (Cook I), maniako (Simbo), Olesi (Tuvalu), takafo, papita, lechosa (Ven.)</t>
  </si>
  <si>
    <t>small scale (manual), large scale/commercial</t>
  </si>
  <si>
    <t>Herbaceous tree-like plant</t>
  </si>
  <si>
    <t>Rapid-growing; tropical commercial 50-80 t/ha</t>
  </si>
  <si>
    <t>NSWDPI; FAO; EXT</t>
  </si>
  <si>
    <t>1 cup diced papaya</t>
  </si>
  <si>
    <t>FNQ, Carnarvon WA — year-round; peak supply autumn–winter (Mar–Jul)</t>
  </si>
  <si>
    <t>NH tropical: year-round (India, Brazil)</t>
  </si>
  <si>
    <t>0 wks – 1 mo</t>
  </si>
  <si>
    <t>0–3 weeks</t>
  </si>
  <si>
    <t>Peach</t>
  </si>
  <si>
    <t>Peach, yellow, unpeeled, raw</t>
  </si>
  <si>
    <t>Prunus persica</t>
  </si>
  <si>
    <t>(L.)Batsch</t>
  </si>
  <si>
    <t>Prunus persicae Stokes, Prunus persica Stokes, Amygdalus persica Linn.</t>
  </si>
  <si>
    <t>peach</t>
  </si>
  <si>
    <t>peach, pêche, melocoton, pesca, Pfirsich, pessego, Semen Persicae, red Ceylon peach, bonanza peach, clingstone peach, freestone peach, red haven peach, Rio Oso gem peach</t>
  </si>
  <si>
    <t>subtropical humid (Cf), subtropical dry summer (Cs)</t>
  </si>
  <si>
    <t>Stone fruit; Spain/China commercial</t>
  </si>
  <si>
    <t>ERS stone fruit; AHDB; NSWDPI</t>
  </si>
  <si>
    <t>1 medium peach</t>
  </si>
  <si>
    <t>Riverland SA, Sunraysia VIC, Young NSW, Stanthorpe QLD — Nov–Feb; peak Dec–Jan</t>
  </si>
  <si>
    <t>NH: Jun–Sep (USA, China, Europe)</t>
  </si>
  <si>
    <t>Pear</t>
  </si>
  <si>
    <t>Pear, green skin, unpeeled, raw</t>
  </si>
  <si>
    <t>Pyrus communis</t>
  </si>
  <si>
    <t>pear</t>
  </si>
  <si>
    <t>pear, pear tree, poire, poirier, pera, pereira, peral, Birne, Birnenbaum</t>
  </si>
  <si>
    <t>Low: traditional; High: irrigated EU/China</t>
  </si>
  <si>
    <t>ERS; AHDB; NSWDPI</t>
  </si>
  <si>
    <t>1 medium pear</t>
  </si>
  <si>
    <t>Goulburn Valley VIC, Riverland SA — Jan–May; peak Feb–Apr</t>
  </si>
  <si>
    <t>NH: Aug–Oct (Europe, China)</t>
  </si>
  <si>
    <t>Cool cellar; bottle or dry</t>
  </si>
  <si>
    <t>2–6 months</t>
  </si>
  <si>
    <t>0–6 months</t>
  </si>
  <si>
    <t>Pear (Nashi)</t>
  </si>
  <si>
    <t>Pear, nashi, unpeeled, raw</t>
  </si>
  <si>
    <t>Japan/China managed; similar to European pear</t>
  </si>
  <si>
    <t>ERS; LIT Japan/China</t>
  </si>
  <si>
    <t>1 medium nashi pear</t>
  </si>
  <si>
    <t>SE Qld, NSW, VIC — Jan–Apr</t>
  </si>
  <si>
    <t>NH: Aug–Oct (Japan, China)</t>
  </si>
  <si>
    <t>Refrigerate or cool cellar</t>
  </si>
  <si>
    <t>Persimmon</t>
  </si>
  <si>
    <t>Persimmon, peeled, raw</t>
  </si>
  <si>
    <t>Diospyros kaki</t>
  </si>
  <si>
    <t>L.f.</t>
  </si>
  <si>
    <t>Magnoliopsida:Dilleniidae:Theales:Ebenaceae</t>
  </si>
  <si>
    <t>kaki</t>
  </si>
  <si>
    <t>kaki, persimmon, Chinese persimmon, Japanese persimmon, plaqueminier, raquemine, kaki-meca, Kakifrucht, kesemek, buah kaki, buah samak, tonloëp, phlap chin, thi hông, hông thi, oriental persimmon, sharon fruit</t>
  </si>
  <si>
    <t>China/Japan; managed orchard</t>
  </si>
  <si>
    <t>NSWDPI; LIT Japan/Korea</t>
  </si>
  <si>
    <t>1 medium persimmon</t>
  </si>
  <si>
    <t>NSW, VIC, SE QLD — autumn harvest; Mar–June after first cool weather</t>
  </si>
  <si>
    <t>NH: Oct–Dec (Japan, China, Korea)</t>
  </si>
  <si>
    <t>Cool room; dry (hoshigaki) or freeze</t>
  </si>
  <si>
    <t>Pineapple</t>
  </si>
  <si>
    <t>Pineapple, peeled, raw</t>
  </si>
  <si>
    <t>Ananas comosus</t>
  </si>
  <si>
    <t>Merr.</t>
  </si>
  <si>
    <t>Liliopsida:Zingiberidae:Bromeliales:Bromeliaceae</t>
  </si>
  <si>
    <t>Ananas sativus Schult. f., Ananassa sativa Lindl., Bromelia ananas L., Bromelia comosa L.</t>
  </si>
  <si>
    <t>pineapple</t>
  </si>
  <si>
    <t>pineapple, pina, po lo mah, ananas, abacaxi, vadra, vainaviu, andras, hukifa, fala'aiga, faina, ara painapa (Cooks), balawa, fala papalagi, painapolo (Tuvalu), sub-pah-rohd</t>
  </si>
  <si>
    <t>Bromeliad rosette</t>
  </si>
  <si>
    <t>Low: traditional; High: Costa Rica plantation</t>
  </si>
  <si>
    <t>FAO; EXT Costa Rica/Philippines; LIT</t>
  </si>
  <si>
    <t>1 cup diced pineapple</t>
  </si>
  <si>
    <t>Sunshine Coast QLD (Wamuran/Woodford) — year-round; peak Dec–Feb</t>
  </si>
  <si>
    <t>NH tropical: year-round (Costa Rica, Philippines)</t>
  </si>
  <si>
    <t>Cool room; freeze or can</t>
  </si>
  <si>
    <t>Plum</t>
  </si>
  <si>
    <t>Plum, unpeeled, raw</t>
  </si>
  <si>
    <t>Prunus domestica</t>
  </si>
  <si>
    <t>common plum</t>
  </si>
  <si>
    <t>common plum, garden plum, European plum, quetschen plum, Pflaume, Zwetschge, Quetsche, prune, prugno, susino, ameixa, ameixeira, ciruela</t>
  </si>
  <si>
    <t>well suited</t>
  </si>
  <si>
    <t>Stone fruit; includes prune plums</t>
  </si>
  <si>
    <t>2 small plums</t>
  </si>
  <si>
    <t>Riverland SA, Sunraysia VIC — Nov–Feb; Damson/prune types Feb–Mar</t>
  </si>
  <si>
    <t>NH: Jul–Sep (China, Romania, USA)</t>
  </si>
  <si>
    <t>Dry (prunes), jam, or bottle</t>
  </si>
  <si>
    <t>Pomegranate</t>
  </si>
  <si>
    <t>Pomegranate, peeled, raw</t>
  </si>
  <si>
    <t>Punica granatum</t>
  </si>
  <si>
    <t>Magnoliopsida:Rosidae:Myrtales:Punicaceae</t>
  </si>
  <si>
    <t>pomegranate</t>
  </si>
  <si>
    <t>pomegranate, grenadine, Chinese apple, grenade, grenadier, roma, roman, romanzeira, milgrada, mirgadeira, granada, granado, dalima, melograno</t>
  </si>
  <si>
    <t>evergreen, deciduous, single stem</t>
  </si>
  <si>
    <t>Iran/India; irrigated commercial</t>
  </si>
  <si>
    <t>ERS; EXT California; LIT Iran/India</t>
  </si>
  <si>
    <t>1 medium pomegranate (arils only ~100g); use 150g),</t>
  </si>
  <si>
    <t>SA arid/Riverland, WA — Feb–May; peak autumn after hot summer</t>
  </si>
  <si>
    <t>NH: Sep–Nov (Iran, Spain, USA)</t>
  </si>
  <si>
    <t>Cool, dry cellar or refrigerate</t>
  </si>
  <si>
    <t>Pomelo</t>
  </si>
  <si>
    <t>Pummelo</t>
  </si>
  <si>
    <t>Citrus grandis</t>
  </si>
  <si>
    <t>Citrus maxima (J. Burman) Merril.</t>
  </si>
  <si>
    <t>pomelo</t>
  </si>
  <si>
    <t>pomelo, pummelo, shaddock, pamplemoussier, moli tonga, molikana, jeruk besar, jambua, lukban, suha, shouk-ton-oh, som-o</t>
  </si>
  <si>
    <t>short day (&lt;12 hours), long day (&gt;14 hours)</t>
  </si>
  <si>
    <t>tropical wet &amp; dry (Aw), tropical wet (Ar), subtropical dry summer (Cs)</t>
  </si>
  <si>
    <t>Tree; largest citrus</t>
  </si>
  <si>
    <t>SE Asia; managed orchard</t>
  </si>
  <si>
    <t>FAO; LIT</t>
  </si>
  <si>
    <t>1 cup pomelo segments</t>
  </si>
  <si>
    <t>FNQ subtropical; winter harvest similar to other citrus</t>
  </si>
  <si>
    <t>NH: Nov–Feb (SE Asia, China)</t>
  </si>
  <si>
    <t>Cool room</t>
  </si>
  <si>
    <t>Prickly Pear</t>
  </si>
  <si>
    <t>Prickly pear, peeled, raw</t>
  </si>
  <si>
    <t>Opuntia ficus-indica</t>
  </si>
  <si>
    <t>(L.) Miller</t>
  </si>
  <si>
    <t>Magnoliopsida:Caryophyllidae:Caryophyllales:Cactaceae</t>
  </si>
  <si>
    <t>Opuntia ficus indica</t>
  </si>
  <si>
    <t>cactus pear</t>
  </si>
  <si>
    <t>cactus pear, prickly pear, fico d'india, turksvy</t>
  </si>
  <si>
    <t>evergreen, multi stem, CAM photosynthesis</t>
  </si>
  <si>
    <t>steppe or semiarid (Bs), subtropical dry summer (Cs)</t>
  </si>
  <si>
    <t>Succulent shrub</t>
  </si>
  <si>
    <t>Mexico; dual-use fruit &amp; vegetable (nopal)</t>
  </si>
  <si>
    <t>FAO Mexico; LIT — thorn removal makes harvest/processing intensive</t>
  </si>
  <si>
    <t>2 medium prickly pears</t>
  </si>
  <si>
    <t>Arid SA/NSW/QLD regions; late summer–autumn; invasive species managed</t>
  </si>
  <si>
    <t>NH: Aug–Oct (Mexico, Mediterranean)</t>
  </si>
  <si>
    <t>Refrigerate; syrup or jam</t>
  </si>
  <si>
    <t>Pumpkin</t>
  </si>
  <si>
    <t>Pumpkin, peeled, fresh, raw</t>
  </si>
  <si>
    <t>Cucurbita maxima</t>
  </si>
  <si>
    <t>Duchesne</t>
  </si>
  <si>
    <t>pumpkin</t>
  </si>
  <si>
    <t>pumpkin, squash, giant squash, citrouille, hina, wavukani, te baukin, panikeni, poosani, hubbard squash, Kürbis</t>
  </si>
  <si>
    <t>Annual vine; trailing</t>
  </si>
  <si>
    <t>Fruit fresh weight; field production</t>
  </si>
  <si>
    <t>NSWDPI; EXT; LIT</t>
  </si>
  <si>
    <t>½ cup cooked pumpkin</t>
  </si>
  <si>
    <t>QLD/NSW — summer crop harvested in autumn Feb–Jun; stores well</t>
  </si>
  <si>
    <t>NH: Sep–Nov (USA)</t>
  </si>
  <si>
    <t>Cool, dry, ventilated room</t>
  </si>
  <si>
    <t>3–9 months</t>
  </si>
  <si>
    <t>Quandong (Native)</t>
  </si>
  <si>
    <t>Quandong, fruit, flesh</t>
  </si>
  <si>
    <t>Small tree; semi-parasitic</t>
  </si>
  <si>
    <t>Semi-arid Australian; wild-harvest to emerging commercial</t>
  </si>
  <si>
    <t>1 cup quandongs</t>
  </si>
  <si>
    <t>Arid/semi-arid SA/WA/NSW — late spring–early summer; Oct–Jan</t>
  </si>
  <si>
    <t>Dry or freeze</t>
  </si>
  <si>
    <t>Quince</t>
  </si>
  <si>
    <t>Quince, peeled, raw</t>
  </si>
  <si>
    <t>Cydonia oblonga</t>
  </si>
  <si>
    <t>quince</t>
  </si>
  <si>
    <t>quince, cognassier, coing, quitte, quittebaum, marmeleiro, marmelo, marmelo galego, gamboa, gamboeiro, cidonia, membrillo, membriller</t>
  </si>
  <si>
    <t>Old-world; Turkey/Iran dominant producers</t>
  </si>
  <si>
    <t>LIT Mediterranean; EXT</t>
  </si>
  <si>
    <t>1 medium quince (cooked)</t>
  </si>
  <si>
    <t>Cool-temperate VIC/NSW/SA — autumn; Mar–Jun (needs frost to ripen well)</t>
  </si>
  <si>
    <t>NH: Oct–Nov (Turkey, Spain, Argentina)</t>
  </si>
  <si>
    <t>Cool cellar; paste or jelly</t>
  </si>
  <si>
    <t>2–5 months</t>
  </si>
  <si>
    <t>1–5 months</t>
  </si>
  <si>
    <t>Rambutan</t>
  </si>
  <si>
    <t>Rambutan, raw</t>
  </si>
  <si>
    <t>Nephelium lappaceum</t>
  </si>
  <si>
    <t>Nephelium gabrum Cambess., Nephelium chryseum Blume, Nephelium sufferugineum Ralk., Nephelium mutabile Blume var. pallens Hiern in Hook.f., Xerospermum topengii Merr.</t>
  </si>
  <si>
    <t>rambutan</t>
  </si>
  <si>
    <t>rambutan, rambootan, ramboutan, rambuteira, rambut (= 'hair'in Malay), usan (Philippines), usau (Philippines), usare (Philippines), phruan (Thailand), ngaw, ser mon (Cambodia), chle (Cambodia), chle sao mao (Cambodia), shao tzu, rambotang, rambustan, rambutao, litchi chevelu, ramboetan</t>
  </si>
  <si>
    <t>SE Asia; Malaysia/Thailand</t>
  </si>
  <si>
    <t>FAO SE Asia; LIT Malaysia/Thailand</t>
  </si>
  <si>
    <t>~8 rambutans peeled</t>
  </si>
  <si>
    <t>FNQ tropical — Nov–Mar summer crop; Mossman/Daintree region</t>
  </si>
  <si>
    <t>NH: Jun–Sep (Thailand, Malaysia)</t>
  </si>
  <si>
    <t>Raspberry</t>
  </si>
  <si>
    <t>Raspberry, raw</t>
  </si>
  <si>
    <t>Rubus idaeus ssp. idaeus</t>
  </si>
  <si>
    <t>Rubus idaeus ssp. idaeus L., Rubus idaeus ssp. vulgatus Arrhen., 1839</t>
  </si>
  <si>
    <t>European raspberry</t>
  </si>
  <si>
    <t>European raspberry, red garden raspberry, red raspberry, hindberry, rasberry, raspberry, hindbær, frambuesa, framboise, framboeza, sarca-ideia, Himbeere, Rubi idaei folium</t>
  </si>
  <si>
    <t>Cane; row width</t>
  </si>
  <si>
    <t>Low: traditional; High: tunnels/polytunnels EU</t>
  </si>
  <si>
    <t>AHDB HDC; ERS; EXT — hand-picked; multiple passes</t>
  </si>
  <si>
    <t>1 cup raspberries</t>
  </si>
  <si>
    <t>TAS/VIC/NSW cool highlands — Nov–Mar; TAS summer Dec–Feb peak</t>
  </si>
  <si>
    <t>NH: Jun–Aug (UK, Serbia, USA)</t>
  </si>
  <si>
    <t>Sapodilla</t>
  </si>
  <si>
    <t>Manilkara achras</t>
  </si>
  <si>
    <t>(L)van Royen</t>
  </si>
  <si>
    <t>Magnoliopsida:Dilleniidae:Sapotales:Sapotaceae</t>
  </si>
  <si>
    <t>Achras sapota L., Sapota achras Mill.</t>
  </si>
  <si>
    <t>Sapodilla, chiku</t>
  </si>
  <si>
    <t>fruits &amp; nuts, materials, forest/wood, environmental</t>
  </si>
  <si>
    <t>Tropical; India/SE Asia</t>
  </si>
  <si>
    <t>1 medium sapodilla</t>
  </si>
  <si>
    <t>FNQ tropical; limited production — winter harvest after cool period</t>
  </si>
  <si>
    <t>NH tropical: Mar–Jul (India, Mexico)</t>
  </si>
  <si>
    <t>Sour Cherry</t>
  </si>
  <si>
    <t>Sour Red Cherries</t>
  </si>
  <si>
    <t>Prunus cerasus</t>
  </si>
  <si>
    <t>sour cherry</t>
  </si>
  <si>
    <t>sour cherry, pie-cherry, cerisier commun, ginjeira da ginjas galegas</t>
  </si>
  <si>
    <t>steppe or semiarid (Bs), subtropical humid (Cf), subtropical dry summer (Cs), temperate oceanic (Do)</t>
  </si>
  <si>
    <t>Turkey/Poland dominant; processing mainly</t>
  </si>
  <si>
    <t>ERS; AHDB; LIT — more mechanisable than sweet cherry</t>
  </si>
  <si>
    <t>1 cup sour cherries</t>
  </si>
  <si>
    <t>Cool-temperate VIC/TAS/SA — Nov–Jan; slightly after sweet cherry</t>
  </si>
  <si>
    <t>NH: Jun–Aug (Turkey, Poland, USA)</t>
  </si>
  <si>
    <t>Soursop</t>
  </si>
  <si>
    <t>Annona muricata</t>
  </si>
  <si>
    <t>soursop</t>
  </si>
  <si>
    <t>soursop, corossol épineux, Stachelannone, zuurzak, guanabana, sirsak, nangka belanda, nangka seberang, durian belanda, durian benggala, durian makkah, saua sap, guayabano, atti, llabanos, tiep banla, tiep barang, khan thalot, khièp thét, thurian-thet, thurian-khaek, rian-nam, mang câù xiê, seremaia, sarifa, talapo fotofoto, sasalapa, 'apeli'initia, apeli'initia, sapsap</t>
  </si>
  <si>
    <t>fruits &amp; nuts, vegetables, medicinals &amp; aromatic, environmental</t>
  </si>
  <si>
    <t>Caribbean/Brazil; small tree</t>
  </si>
  <si>
    <t>FAO Caribbean; LIT</t>
  </si>
  <si>
    <t>1 cup diced soursop</t>
  </si>
  <si>
    <t>FNQ tropical — limited production; summer fruiting; Nov–Mar</t>
  </si>
  <si>
    <t>NH tropical: May–Sep (Caribbean, Brazil)</t>
  </si>
  <si>
    <t>Refrigerate; freeze pulp</t>
  </si>
  <si>
    <t>Strawberry</t>
  </si>
  <si>
    <t>Strawberry, raw</t>
  </si>
  <si>
    <t>Fragaria x ananassa</t>
  </si>
  <si>
    <t>(Duchesne) Guédes</t>
  </si>
  <si>
    <t>Fragaria chiloensis (L.) P. Miller x Fragaria virginiana P. Miller (1750), Fragaria ananassa Duchesne (1766), Fragaria vesca L. race ananassa Duchesne (1766)</t>
  </si>
  <si>
    <t>strawberry</t>
  </si>
  <si>
    <t>strawberry, dessert strawberry, garden strawberry, fraise, fraisier ananas, erdbeere, morango, morangueiro de cultura, fresa, arben, stroboeri, dâu tây, jordbær, jordgubbe, tarhamansikka</t>
  </si>
  <si>
    <t>acaulescent (or rosette plants)</t>
  </si>
  <si>
    <t>tropical wet &amp; dry (Aw), steppe or semiarid (Bs), subtropical humid (Cf), subtropical dry summer (Cs), subtropical dry winter (Cw), temperate oceanic (Do), temperate continental (Dc), temperate with humid winters (Df), temperate with dry winters (Dw)</t>
  </si>
  <si>
    <t>Ground cover plant</t>
  </si>
  <si>
    <t>Low: open field; High: substrate/greenhouse (Netherlands)</t>
  </si>
  <si>
    <t>ERS strawberry; AHDB HDC; Migration Dialogue — very high harvest labour</t>
  </si>
  <si>
    <t>1 cup strawberries (~8–10 medium)</t>
  </si>
  <si>
    <t>QLD (Redlands/Sunshine Coast) Aug–Nov; NSW/VIC Oct–Jan; WA May–Oct; peak Oct–Dec national</t>
  </si>
  <si>
    <t>NH: May–Aug (California, Spain, Poland)</t>
  </si>
  <si>
    <t>Sugar Apple</t>
  </si>
  <si>
    <t>Sugar Apples</t>
  </si>
  <si>
    <t>Annona squamosa</t>
  </si>
  <si>
    <t>sugar apple</t>
  </si>
  <si>
    <t>sugar apple, sweetsop, scaly custard apple, custard apple, zuckerapfel, stachelanone, cherimoya, attier, poreroe cannelle, pomme cannelle, anon, anon de azucar, anona de castilla, fruta do conde, scopappel, kaneelappel, fan-li-chi, sirkaja, sarikaja, atis, ata, luna, meba, sharifa, sarifa, sitaphal, sita pandu, nona sri kaya, bnah nona, seri kaya, tiep baay, tiep, mang cau ta, noinah, manonah, makkhiap, lanang, mak khbieb, na, mang caua ta, qu a na</t>
  </si>
  <si>
    <t>evergreen, deciduous, single stem, multi stem</t>
  </si>
  <si>
    <t>1 cup sugar apple flesh</t>
  </si>
  <si>
    <t>Subtropical QLD — late summer–autumn; Dec–Apr</t>
  </si>
  <si>
    <t>NH: Sep–Dec (India, Caribbean)</t>
  </si>
  <si>
    <t>Tamarillo</t>
  </si>
  <si>
    <t>Tamarillo, peeled, raw</t>
  </si>
  <si>
    <t>Cyphomandra betacea</t>
  </si>
  <si>
    <t>(Cav.) Sendtner</t>
  </si>
  <si>
    <t>Cyphomandra hartwegi Sendt., Solanum betaceum Cav.</t>
  </si>
  <si>
    <t>tree tomato</t>
  </si>
  <si>
    <t>tree tomato, tamarillo, yellow tree tomato, tomate d'arbre, tamarille, tomate de palo, tomate de árbol, palo de tomate, tomate granadillo, pix, caxlan pix, tomate dulce, tomate francés, sachatomate, yuncatomate, limatomate, tomate de monte, tomate de La Paz</t>
  </si>
  <si>
    <t>herb, shrub, tree</t>
  </si>
  <si>
    <t>Andean; Ecuador/NZ commercial</t>
  </si>
  <si>
    <t>NZ Horticulture; LIT Ecuador</t>
  </si>
  <si>
    <t>2 medium tamarillos</t>
  </si>
  <si>
    <t>Subtropical QLD/northern NSW — autumn; Mar–Jul</t>
  </si>
  <si>
    <t>NH: Oct–Jan (Ecuador, New Zealand)</t>
  </si>
  <si>
    <t>Refrigerate; chutney or jam</t>
  </si>
  <si>
    <t>Tangelo</t>
  </si>
  <si>
    <t>Tangelo, peeled, raw</t>
  </si>
  <si>
    <t>Citrus aurantium</t>
  </si>
  <si>
    <t>Citrus aurantium L. var. amara L., Citrus aurantium var. bigaradia, Citrus bigaradia L isel., Citrus vulgaris Risso</t>
  </si>
  <si>
    <t>sour orange</t>
  </si>
  <si>
    <t>sour orange, bitter orange</t>
  </si>
  <si>
    <t>Citrus hybrid; similar to grapefruit production</t>
  </si>
  <si>
    <t>1 medium tangelo</t>
  </si>
  <si>
    <t>Riverland SA, Sunraysia VIC — winter citrus; May–Sep</t>
  </si>
  <si>
    <t>NH: Nov–Mar (USA, Mediterranean)</t>
  </si>
  <si>
    <t>Tangerine / Tangor</t>
  </si>
  <si>
    <t>Tangerine or tangor, peeled, raw</t>
  </si>
  <si>
    <t>Similar to mandarin production system</t>
  </si>
  <si>
    <t>1 medium tangerine</t>
  </si>
  <si>
    <t>Same season as mandarin; Riverland SA, QLD — May–Sep</t>
  </si>
  <si>
    <t>NH: Nov–Mar (China, Japan, Spain)</t>
  </si>
  <si>
    <t>Tomatillo</t>
  </si>
  <si>
    <t>Tomatillos</t>
  </si>
  <si>
    <t>Physalis philadelphica</t>
  </si>
  <si>
    <t>tomatillo</t>
  </si>
  <si>
    <t>tomatillo, husk-tomato, jamberry, ground cherry, tomate de cascara, tomate de fresadilla, tomate milpero, tomate verde, miltomate</t>
  </si>
  <si>
    <t>vegetables, ornamentals/turf</t>
  </si>
  <si>
    <t>medium, light, organic</t>
  </si>
  <si>
    <t>Mexico/USA; similar to tomato</t>
  </si>
  <si>
    <t>FAO Veg; USDA</t>
  </si>
  <si>
    <t>EXT Mexico; LIT</t>
  </si>
  <si>
    <t>½ cup cooked tomatillo — used as vegetable</t>
  </si>
  <si>
    <t>Warm-season QLD/NSW — summer crop; Nov–Apr</t>
  </si>
  <si>
    <t>NH: Jul–Oct (Mexico, California)</t>
  </si>
  <si>
    <t>Husk-on cool room; salsa or sauce</t>
  </si>
  <si>
    <t>Tomato</t>
  </si>
  <si>
    <t>Tomato, common, raw</t>
  </si>
  <si>
    <t>Lycopersicon esculentum</t>
  </si>
  <si>
    <t>Lycopersicon lycopersicum (L.) Karst. ex Farw., Solanum lycopersicum L.</t>
  </si>
  <si>
    <t>tomato</t>
  </si>
  <si>
    <t>tomato, tomate, pomodoro, tomata, tomatar, temata, temeta, tamatie</t>
  </si>
  <si>
    <t>forage/pasture, vegetables, medicinals &amp; aromatic</t>
  </si>
  <si>
    <t>Annual; determinate 0.5-1 m, indeterminate to 2.5 m</t>
  </si>
  <si>
    <t>Low: open field subsistence; High: Dutch greenhouse hydroponics</t>
  </si>
  <si>
    <t>ERS tomato; NSWDPI; AHDB HDC — indeterminate 500+ h/ha trellised</t>
  </si>
  <si>
    <t>1 medium tomato</t>
  </si>
  <si>
    <t>QLD year-round; NSW/VIC Oct–May; peak summer Dec–Mar</t>
  </si>
  <si>
    <t>Sauce, paste, bottle, dry, or ferment</t>
  </si>
  <si>
    <t>Watermelon</t>
  </si>
  <si>
    <t>Melon, watermelon, peeled, raw</t>
  </si>
  <si>
    <t>Citrullus lanatus</t>
  </si>
  <si>
    <t>(Thunb.) Matsumura &amp; Nakai</t>
  </si>
  <si>
    <t>Citrullus vulgaris Schrad.</t>
  </si>
  <si>
    <t>watermelon</t>
  </si>
  <si>
    <t>watermelon, pastèque, stolovyj arbuz, melani, sandia, melancia, hsi kwa, xigua, tarbuz, wassermelone, legapu, vandmelon, anguria, cocomero, tsamma, karkoer, tsamma melon, wild watermelon, bitterwaatlemoen, bitterboela, N!Ham</t>
  </si>
  <si>
    <t>light</t>
  </si>
  <si>
    <t>excessive (dry/moderately dry)</t>
  </si>
  <si>
    <t>Trailing vine; spread on ground</t>
  </si>
  <si>
    <t>Low: subsistence; High: irrigated commercial (China/Turkey)</t>
  </si>
  <si>
    <t>ERS; NSWDPI; Migration Dialogue</t>
  </si>
  <si>
    <t>1 cup diced watermelon</t>
  </si>
  <si>
    <t>Carnarvon WA, QLD, NT — Nov–Mar; peak Dec–Feb</t>
  </si>
  <si>
    <t>NH: Jun–Aug (China, Turkey, USA)</t>
  </si>
  <si>
    <t>Cool, dark room</t>
  </si>
  <si>
    <t>Wax Jambu (Rose Apple)</t>
  </si>
  <si>
    <t>Wax jambu, raw</t>
  </si>
  <si>
    <t>Eugenia jambos</t>
  </si>
  <si>
    <t>roseapple</t>
  </si>
  <si>
    <t>SE Asia tropical tree</t>
  </si>
  <si>
    <t>1 cup wax jambu</t>
  </si>
  <si>
    <t>FNQ tropical — spring–summer; Oct–Feb</t>
  </si>
  <si>
    <t>NH tropical: Feb–May (SE Asia)</t>
  </si>
  <si>
    <t>Zucchini (Courgette)</t>
  </si>
  <si>
    <t>Zucchini, green skin, fresh, unpeeled, raw</t>
  </si>
  <si>
    <t>Cucurbita mixta</t>
  </si>
  <si>
    <t>Pang.</t>
  </si>
  <si>
    <t>squash</t>
  </si>
  <si>
    <t>vegetables, materials, environmental</t>
  </si>
  <si>
    <t>Annual bushy vine</t>
  </si>
  <si>
    <t>Low: field; High: heated greenhouse; very high turnover</t>
  </si>
  <si>
    <t>AHDB HDC; EXT UK/US — very frequent picking</t>
  </si>
  <si>
    <t>½ cup cooked zucchini</t>
  </si>
  <si>
    <t>Warm-season; QLD year-round; NSW/VIC Oct–Apr; peak summer</t>
  </si>
  <si>
    <t>Refrigerate; freeze or pickle</t>
  </si>
  <si>
    <t>Mushroom</t>
  </si>
  <si>
    <t>Fruiting Body</t>
  </si>
  <si>
    <t>Mushroom, common, fresh, raw</t>
  </si>
  <si>
    <t>Fruiting body size</t>
  </si>
  <si>
    <t>Per m² basis converted; substrate yield ~25 kg/100 kg substrate</t>
  </si>
  <si>
    <t>FAO; USDA</t>
  </si>
  <si>
    <t>ERS; EXT Pennsylvania; LIT — substrate prep, spawning, picking</t>
  </si>
  <si>
    <t>½ cup cooked mushrooms</t>
  </si>
  <si>
    <t>Year-round: grown in climate-controlled sheds; Australia-wide</t>
  </si>
  <si>
    <t>Year-round globally (indoor cultivation)</t>
  </si>
  <si>
    <t>5–10 days</t>
  </si>
  <si>
    <t>Amaranth (Grain)</t>
  </si>
  <si>
    <t>Grain</t>
  </si>
  <si>
    <t>Amaranth, grain, whole, uncooked</t>
  </si>
  <si>
    <t>Amaranthus caudatus</t>
  </si>
  <si>
    <t>Magnoliopsida:Caryophyllidae:Caryophyllales:Amaranthaceae</t>
  </si>
  <si>
    <t>Amaranthus cruentus L., Amaranthus dubius Thell., Amaranthus tricolor L., Amaranthus lividus L., Amaranthus viridus L., Amaranthus sanguineus L.</t>
  </si>
  <si>
    <t>amaranths</t>
  </si>
  <si>
    <t>amaranths, xian, lishalisho, ferenjitef, iyaso (Galinya), jolili (Galinya), gagabsa (Wollamo)</t>
  </si>
  <si>
    <t>C4 photosynthesis</t>
  </si>
  <si>
    <t>cereals &amp; pseudocereals, forage/pasture, vegetables, ornamentals/turf, medicinals &amp; aromatic</t>
  </si>
  <si>
    <t>cereals &amp; pseudocereals</t>
  </si>
  <si>
    <t>none (&lt;5% of CEC)</t>
  </si>
  <si>
    <t>low (6-15% of CEC)</t>
  </si>
  <si>
    <t>tropical wet &amp; dry (Aw), desert or arid (Bw), steppe or semiarid (Bs), subtropical humid (Cf), subtropical dry summer (Cs), subtropical dry winter (Cw)</t>
  </si>
  <si>
    <t>Annual grain; grain amaranth</t>
  </si>
  <si>
    <t>Grain yield; Andean to commercial US</t>
  </si>
  <si>
    <t>EXT US; LIT</t>
  </si>
  <si>
    <t>Grain (Cereal) Foods</t>
  </si>
  <si>
    <t>½ cup cooked amaranth (~100g)</t>
  </si>
  <si>
    <t>Warm-season grain; QLD/NSW — autumn harvest</t>
  </si>
  <si>
    <t>NH: Sep–Oct (Mexico, Peru)</t>
  </si>
  <si>
    <t>Dry grain — cool/dry/dark, airtight</t>
  </si>
  <si>
    <t>12–24 months</t>
  </si>
  <si>
    <t>1–2 years</t>
  </si>
  <si>
    <t>Barley (Pearl)</t>
  </si>
  <si>
    <t>Barley, pearl, uncooked</t>
  </si>
  <si>
    <t>Hordeum vulgare</t>
  </si>
  <si>
    <t>Liliopsida:Commelinidae:Cyperales:Gramineae</t>
  </si>
  <si>
    <t>See Notes</t>
  </si>
  <si>
    <t>barley</t>
  </si>
  <si>
    <t>barley, cebada, orge, damai, cevada, gebs, Gerste</t>
  </si>
  <si>
    <t>grass</t>
  </si>
  <si>
    <t>cereals &amp; pseudocereals, medicinals &amp; aromatic</t>
  </si>
  <si>
    <t>neutral day (12-14 hours), long day (&gt;14 hours)</t>
  </si>
  <si>
    <t>fire</t>
  </si>
  <si>
    <t>Annual grass; grain</t>
  </si>
  <si>
    <t>Low: dryland; High: EU irrigated commercial; UK avg ~5 t/ha</t>
  </si>
  <si>
    <t>AHDB cereals guide; ERS; LIT</t>
  </si>
  <si>
    <t>½ cup cooked pearl barley (~100g)</t>
  </si>
  <si>
    <t>SA, WA, VIC — winter barley harvested Oct–Dec</t>
  </si>
  <si>
    <t>12–36 months</t>
  </si>
  <si>
    <t>1–3 years</t>
  </si>
  <si>
    <t>Buckwheat</t>
  </si>
  <si>
    <t>Buckwheat groats, uncooked</t>
  </si>
  <si>
    <t>Fagopyrum esculentum</t>
  </si>
  <si>
    <t>Moench</t>
  </si>
  <si>
    <t>Magnoliopsida:Caryophyllidae:Polygonales:Polygonaceae</t>
  </si>
  <si>
    <t>Fagopyrum sagittatum Gilib., Polygonum fagopyrum L.</t>
  </si>
  <si>
    <t>buckwheat</t>
  </si>
  <si>
    <t>buckwheat, qiaomei, ogal, mite phapar, grecicha kul'turnaja, poganka, sarrasin, trigo sarraceno, fagopiro, echter Buchweizen, Buchweizen, Keidekorn, soba, bovete, bokvete, vanligt bovete, bokkveite, almindelig boghvede, viljatatar, Fagopyri semen, Fagopyri herba</t>
  </si>
  <si>
    <t>cereals &amp; pseudocereals, forage/pasture, vegetables, materials, cover crop</t>
  </si>
  <si>
    <t>large scale/commercial, protected cultivation</t>
  </si>
  <si>
    <t>Annual herb; pseudo-cereal</t>
  </si>
  <si>
    <t>Low-input dryland crop; Russia/China dominant</t>
  </si>
  <si>
    <t>EXT; LIT — minimal inputs</t>
  </si>
  <si>
    <t>½ cup cooked buckwheat (~100g)</t>
  </si>
  <si>
    <t>VIC/NSW — summer crop; Feb–Apr harvest</t>
  </si>
  <si>
    <t>NH: Aug–Sep (Russia, China)</t>
  </si>
  <si>
    <t>Millet</t>
  </si>
  <si>
    <t>Millet, uncooked</t>
  </si>
  <si>
    <t>Pennisetum glaucum</t>
  </si>
  <si>
    <t>(L.) R.Br.</t>
  </si>
  <si>
    <t>Pennisetum americanum, Pennisetum spicatum, Pennisetum typhoideum Rich., Pennisetum typhodes (Burm.) Stapf &amp; C.E. Hubb.</t>
  </si>
  <si>
    <t>pearl millett</t>
  </si>
  <si>
    <t>pearl millett, bulrush millett, negrito millet, millet perle, petit millet, cumbu, bajra, bajri, babala, spiked millet, cat-tail millet, cattail millet, pijo perla, panizo Bajra, mil a chandella, mil penicillaire, dukn</t>
  </si>
  <si>
    <t>tropical wet &amp; dry (Aw), tropical wet (Ar), desert or arid (Bw), steppe or semiarid (Bs), subtropical humid (Cf), subtropical dry summer (Cs), subtropical dry winter (Cw)</t>
  </si>
  <si>
    <t>home garden, small scale (manual), intermediate (animal drawn), large scale/commercial</t>
  </si>
  <si>
    <t>Annual grass; pearl millet</t>
  </si>
  <si>
    <t>Pearl millet; Low: Sahel subsistence; High: managed India</t>
  </si>
  <si>
    <t>FAO Sahel; LIT; CGIAR</t>
  </si>
  <si>
    <t>½ cup cooked millet (~100g)</t>
  </si>
  <si>
    <t>QLD/northern NSW — warm-season; harvested autumn</t>
  </si>
  <si>
    <t>NH: Sep–Nov (India, Africa)</t>
  </si>
  <si>
    <t>Oats (Rolled)</t>
  </si>
  <si>
    <t>Oats, rolled, uncooked</t>
  </si>
  <si>
    <t>Avena sativa</t>
  </si>
  <si>
    <t>oat</t>
  </si>
  <si>
    <t>oat, oats, hawer, hafer, avena, avoine, avoine farine, vanlig havre, havre, almindelig havre, peltokaura, kaura, akurhafrar, saat-hafer</t>
  </si>
  <si>
    <t>cereals &amp; pseudocereals, cover crop</t>
  </si>
  <si>
    <t>Annual grass</t>
  </si>
  <si>
    <t>Grain yield; EU/Australia commercial; UK avg ~5.5 t/ha</t>
  </si>
  <si>
    <t>AHDB; EXT Iowa State</t>
  </si>
  <si>
    <t>½ cup cooked porridge (~120g)</t>
  </si>
  <si>
    <t>SA, VIC, WA, NSW — spring harvest Oct–Dec</t>
  </si>
  <si>
    <t>NH: Jul–Aug (Finland, Canada)</t>
  </si>
  <si>
    <t>Quinoa</t>
  </si>
  <si>
    <t>Quinoa, uncooked</t>
  </si>
  <si>
    <t>Chenopodium quinoa</t>
  </si>
  <si>
    <t>Willd.</t>
  </si>
  <si>
    <t>Magnoliopsida:Caryophyllidae:Caryophyllales:Chenopodiaceae</t>
  </si>
  <si>
    <t>quinoa</t>
  </si>
  <si>
    <t>quinoa, quinua, kiuna, jiura, quinhua, suba</t>
  </si>
  <si>
    <t>cereals &amp; pseudocereals, forage/pasture, vegetables, medicinals &amp; aromatic</t>
  </si>
  <si>
    <t>tropical wet &amp; dry (Aw), desert or arid (Bw), steppe or semiarid (Bs), subtropical dry summer (Cs), temperate oceanic (Do), temperate continental (Dc), temperate with humid winters (Df), temperate with dry winters (Dw)</t>
  </si>
  <si>
    <t>Low: Andean traditional; High: intensive Netherlands/Denmark</t>
  </si>
  <si>
    <t>FAO Andean; EXT Denmark; LIT</t>
  </si>
  <si>
    <t>½ cup cooked quinoa (~100g)</t>
  </si>
  <si>
    <t>Limited production; VIC/SA cool areas — summer/autumn crop</t>
  </si>
  <si>
    <t>NH: Jul–Sep (Andes, Denmark)</t>
  </si>
  <si>
    <t>24–36 months</t>
  </si>
  <si>
    <t>2–3 years</t>
  </si>
  <si>
    <t>Rice (Brown)</t>
  </si>
  <si>
    <t>Rice, brown, uncooked</t>
  </si>
  <si>
    <t>Oryza sativa</t>
  </si>
  <si>
    <t>rice</t>
  </si>
  <si>
    <t>rice, riso, riz, arroz, raisi, chawal, dhan, shali, rais, kumi, kome, ku, dao, tao, kao, cau, byeo, padi, paddy, vrihi, arishi, oruza, lúa, lúa gao, arishi Arruz, reis</t>
  </si>
  <si>
    <t>multi stem, C3 photosynthesis</t>
  </si>
  <si>
    <t>wide</t>
  </si>
  <si>
    <t>poorly (saturated &gt;50% of year)</t>
  </si>
  <si>
    <t>neutral day (12-14 hours)</t>
  </si>
  <si>
    <t>intermediate (animal drawn), large scale/commercial</t>
  </si>
  <si>
    <t>Paddy yield (same crop as white rice); unhusked</t>
  </si>
  <si>
    <t>IRRI; same as white rice — milling step not included (farm gate)</t>
  </si>
  <si>
    <t>½ cup cooked brown rice (~100g)</t>
  </si>
  <si>
    <t>Murrumbidgee NSW — same as white rice (less processing)</t>
  </si>
  <si>
    <t>NH: Sep–Nov</t>
  </si>
  <si>
    <t>Cool/dry/dark, airtight — refrigerate for longer</t>
  </si>
  <si>
    <t>6–12 months</t>
  </si>
  <si>
    <t>0.5–1 years</t>
  </si>
  <si>
    <t>Rice (White)</t>
  </si>
  <si>
    <t>Rice, white, uncooked</t>
  </si>
  <si>
    <t>Paddy; Low: traditional rainfed; High: irrigated Asia (6-9 t/ha)</t>
  </si>
  <si>
    <t>IRRI; FAO; ERS rice 2021; Ibarrola-Rivas 2016</t>
  </si>
  <si>
    <t>½ cup cooked white rice (~100g)</t>
  </si>
  <si>
    <t>Murrumbidgee Irrigation Area NSW — planted Nov, harvested Feb–May</t>
  </si>
  <si>
    <t>NH: Sep–Nov (China, India, SE Asia)</t>
  </si>
  <si>
    <t>24–60 months</t>
  </si>
  <si>
    <t>2–5 years</t>
  </si>
  <si>
    <t>Rice (Wild)</t>
  </si>
  <si>
    <t>Rice, wild, uncooked</t>
  </si>
  <si>
    <t>Aquatic grass; Zizania</t>
  </si>
  <si>
    <t>Aquatic grass; lower density than rice; Canada/USA</t>
  </si>
  <si>
    <t>USDA</t>
  </si>
  <si>
    <t>LIT — aquatic; harvest highly labour intensive</t>
  </si>
  <si>
    <t>½ cup cooked wild rice (~100g)</t>
  </si>
  <si>
    <t>Very limited Australian production; summer crop like paddy rice</t>
  </si>
  <si>
    <t>NH: Sep–Oct (Minnesota, Canada)</t>
  </si>
  <si>
    <t>Rye (Grain)</t>
  </si>
  <si>
    <t>Rye, grain, whole, uncooked</t>
  </si>
  <si>
    <t>Secale cereale</t>
  </si>
  <si>
    <t>rye</t>
  </si>
  <si>
    <t>rye, seigle, centeno, roggen, saat-roggen, segale comune, zyto, almindelig rug, rug, råg, rúgur, ruis, rogge</t>
  </si>
  <si>
    <t>cereals &amp; pseudocereals, forage/pasture, cover crop, environmental</t>
  </si>
  <si>
    <t>steppe or semiarid (Bs), temperate oceanic (Do), temperate continental (Dc)</t>
  </si>
  <si>
    <t>Annual/biennial grass</t>
  </si>
  <si>
    <t>Low: marginal land; High: EU commercial (Germany avg ~4 t/ha)</t>
  </si>
  <si>
    <t>EXT Germany; LIT</t>
  </si>
  <si>
    <t>½ cup cooked rye berries (~100g); or 40g rye bread</t>
  </si>
  <si>
    <t>SA, VIC — similar to wheat harvest; Oct–Jan</t>
  </si>
  <si>
    <t>NH: Jul–Aug (Germany, Poland)</t>
  </si>
  <si>
    <t>Sorghum</t>
  </si>
  <si>
    <t>Sorghum, grain, uncooked</t>
  </si>
  <si>
    <t>Annual grass; grain sorghum</t>
  </si>
  <si>
    <t>Low: dryland Africa; High: irrigated USA/Australia</t>
  </si>
  <si>
    <t>ERS; LIT (Sudan Gezira)</t>
  </si>
  <si>
    <t>½ cup cooked sorghum (~100g)</t>
  </si>
  <si>
    <t>QLD/northern NSW — warm-season grain; harvested autumn Feb–May</t>
  </si>
  <si>
    <t>NH: Aug–Oct (USA Great Plains, Africa)</t>
  </si>
  <si>
    <t>Sorghum Grain</t>
  </si>
  <si>
    <t>Spelt</t>
  </si>
  <si>
    <t>Spelt, uncooked</t>
  </si>
  <si>
    <t>Triticum spelta</t>
  </si>
  <si>
    <t>spelt wheat</t>
  </si>
  <si>
    <t>spelt wheat, wheat - spelt, farro, dinkel, German wheat</t>
  </si>
  <si>
    <t>cereals &amp; pseudocereals, forage/pasture</t>
  </si>
  <si>
    <t>Annual grass; hulled wheat</t>
  </si>
  <si>
    <t>Lower than common wheat; Germany/Austria organic</t>
  </si>
  <si>
    <t>EXT Germany; LIT — dehulling adds postharvest</t>
  </si>
  <si>
    <t>½ cup cooked spelt berries (~100g)</t>
  </si>
  <si>
    <t>VIC/NSW cool-temperate — same as wheat harvest</t>
  </si>
  <si>
    <t>NH: Jul–Aug (Germany, Austria)</t>
  </si>
  <si>
    <t>Teff</t>
  </si>
  <si>
    <t>Teff, uncooked</t>
  </si>
  <si>
    <t>Eragrostis tef</t>
  </si>
  <si>
    <t>(Zucc.) Trotter</t>
  </si>
  <si>
    <t>Eragrostis pilosa (L.) P. Beauv. var. tef (Zucc.), Eragrostis pilosa (L.) P. Beauv. ssp. abyssinica (Jacq.), Eragrostis abyssinica (Jacq.), Cynodon abyssinicus (Jacq.), Poa cerealis, Poa abyssinica, Poa tef</t>
  </si>
  <si>
    <t>tef</t>
  </si>
  <si>
    <t>tef, tafi (Orom.), taf, teff, Williams lovegrass, chimanganga (Malawi), ndzungulu(Malawi)</t>
  </si>
  <si>
    <t>cereals &amp; pseudocereals, materials</t>
  </si>
  <si>
    <t>Annual grass; very fine</t>
  </si>
  <si>
    <t>Ethiopia traditional to modern; drought-tolerant</t>
  </si>
  <si>
    <t>LIT Ethiopia; FAO — very fine seed, highly labour intensive</t>
  </si>
  <si>
    <t>½ cup cooked teff (~100g); or injera ~40g</t>
  </si>
  <si>
    <t>Limited Australian production; warm-season annual; autumn harvest</t>
  </si>
  <si>
    <t>NH: Sep–Oct (Ethiopia — two seasons)</t>
  </si>
  <si>
    <t>Triticale</t>
  </si>
  <si>
    <t>Triticale, grain, uncooked</t>
  </si>
  <si>
    <t>Annual grass; wheat-rye hybrid</t>
  </si>
  <si>
    <t>Hybrid wheat-rye; EU commercial</t>
  </si>
  <si>
    <t>½ cup cooked triticale (~100g)</t>
  </si>
  <si>
    <t>SA, WA, VIC — spring harvest similar to wheat</t>
  </si>
  <si>
    <t>NH: Jul–Aug (Europe)</t>
  </si>
  <si>
    <t>Wheat (Whole)</t>
  </si>
  <si>
    <t>Wheat, whole, uncooked</t>
  </si>
  <si>
    <t>Triticum aestivum</t>
  </si>
  <si>
    <t>Triticum hybernum L., Sp. Pl. 86 (1753), Triticum sativum Lam., Fl. Franç. 3: 625 (1778), Triticum vulgare Vill., Hist. Pl. Dauphiné 2: 153 (1783), Triticum cereale Schrank, Baier. Fl. 1: 387 (1789)</t>
  </si>
  <si>
    <t>wheat</t>
  </si>
  <si>
    <t>wheat, bread wheat, blé, alkamh, sinde, xiao mai, trigo, brödvete, vanligt vete, kveite, almindelig hvede, leipävehnä, vehnä, hveiti, aat-weize, weizen, grano, frumento, lua mi, froment, cereals-wheat</t>
  </si>
  <si>
    <t>single stem, C3 photosynthesis</t>
  </si>
  <si>
    <t>cereals &amp; pseudocereals, forage/pasture, medicinals &amp; aromatic</t>
  </si>
  <si>
    <t>Low: subsistence/dryland; High: UK/Netherlands irrigated</t>
  </si>
  <si>
    <t>ERS wheat 2019; FAO mechanisation; LIT (Ibarrola-Rivas 2016)</t>
  </si>
  <si>
    <t>½ cup cooked whole wheat berries; or 40g wholemeal bread</t>
  </si>
  <si>
    <t>WA Wheatbelt, NSW, VIC, SA — winter wheat harvested Oct–Jan; QLD spring wheat Oct–Nov</t>
  </si>
  <si>
    <t>NH: Jun–Aug (Europe, N America, India)</t>
  </si>
  <si>
    <t>12–60 months</t>
  </si>
  <si>
    <t>1–5 years</t>
  </si>
  <si>
    <t>Corn (Sweet)</t>
  </si>
  <si>
    <t>Kernel</t>
  </si>
  <si>
    <t>Corn, fresh on cob, raw</t>
  </si>
  <si>
    <t>Zea mays ssp. saccharata</t>
  </si>
  <si>
    <t>Sturt</t>
  </si>
  <si>
    <t>sweet corn</t>
  </si>
  <si>
    <t>sweet corn, sweet maize, milho doce</t>
  </si>
  <si>
    <t>forage/pasture, vegetables</t>
  </si>
  <si>
    <t>Fresh ear yield (same as vegetable section)</t>
  </si>
  <si>
    <t>USDA NASS; EXT Purdue; Migration Dialogue 150-200 h/ac harvest</t>
  </si>
  <si>
    <t>½ cup sweet corn kernels (~75g); ADG vegetable serve</t>
  </si>
  <si>
    <t>QLD/NSW/SA — summer crop; Nov–Apr; peak Dec–Feb</t>
  </si>
  <si>
    <t>NH: Jun–Sep (USA, Argentina)</t>
  </si>
  <si>
    <t>Blanch and freeze; dry as cornmeal</t>
  </si>
  <si>
    <t>Basil</t>
  </si>
  <si>
    <t>Leaf</t>
  </si>
  <si>
    <t>Basil, green, fresh, raw</t>
  </si>
  <si>
    <t>Ocimum basilicum</t>
  </si>
  <si>
    <t>Magnoliopsida:Asteridae:Lamiales:Labiatae</t>
  </si>
  <si>
    <t>Ocimum americanum L.</t>
  </si>
  <si>
    <t>basil</t>
  </si>
  <si>
    <t>basil, sweet basil, common basil, basilic, Basilikum, Basilienkraut, basilico, albahaca, basilkort, raihan, basilicum, manjericao, bazilik, maboki, lo-le, Basilici herba, Aetheroleum basilici</t>
  </si>
  <si>
    <t>vegetables, medicinals &amp; aromatic, weed</t>
  </si>
  <si>
    <t>tropical wet &amp; dry (Aw), tropical wet (Ar), subtropical humid (Cf), subtropical dry summer (Cs), subtropical dry winter (Cw), temperate oceanic (Do)</t>
  </si>
  <si>
    <t>Annual herb</t>
  </si>
  <si>
    <t>Fresh herb; Italy/Thailand commercial</t>
  </si>
  <si>
    <t>EXT Italy; LIT — multiple harvests; hand-cut intensive</t>
  </si>
  <si>
    <t>1 cup fresh basil leaves (~20g); usually condiment</t>
  </si>
  <si>
    <t>Warm-season herb; QLD year-round; NSW/VIC Oct–Apr</t>
  </si>
  <si>
    <t>Room temp in water; dry or freeze in oil</t>
  </si>
  <si>
    <t>Bok Choy</t>
  </si>
  <si>
    <t>Bok choy, raw</t>
  </si>
  <si>
    <t>Brassica rapa Pak Choi</t>
  </si>
  <si>
    <t>Pak Choi</t>
  </si>
  <si>
    <t>Annual leafy vegetable</t>
  </si>
  <si>
    <t>Rapid growth; China/SE Asia commercial</t>
  </si>
  <si>
    <t>EXT Taiwan; NSWDPI</t>
  </si>
  <si>
    <t>1 cup raw or ½ cup cooked bok choy</t>
  </si>
  <si>
    <t>Year-round in QLD; cool-season peak winter–spring in southern states</t>
  </si>
  <si>
    <t>Cabbage (Chinese)</t>
  </si>
  <si>
    <t>Cabbage, Chinese, raw</t>
  </si>
  <si>
    <t>Head weight; China dominant producer</t>
  </si>
  <si>
    <t>EXT Taiwan; NSWDPI; LIT</t>
  </si>
  <si>
    <t>1 cup raw or ½ cup cooked Chinese cabbage</t>
  </si>
  <si>
    <t>Cool-season; VIC/NSW Apr–Oct; QLD year-round</t>
  </si>
  <si>
    <t>Refrigerate; ferment (kimchi)</t>
  </si>
  <si>
    <t>Cabbage (Red)</t>
  </si>
  <si>
    <t>Cabbage, red, raw</t>
  </si>
  <si>
    <t>Brassica oleracea var. capitata</t>
  </si>
  <si>
    <t>L. [Alef.]</t>
  </si>
  <si>
    <t>Brassica capitata hort., Brassica oleracae var bullata (Savoy cabbage), Brassica oleracea var capitata sabauda (Savoy cabb</t>
  </si>
  <si>
    <t>cabbage</t>
  </si>
  <si>
    <t>cabbage, Shetland cabbage, Savoy cabbage, white cabbage, red cabbage, chou (Fr), repollo (Spanish), cavolo (Italian), kraut (German), kapeti kovu (Fiji), kapisi palangi (Tuvalu), kapisi, kebis</t>
  </si>
  <si>
    <t>Annual/biennial brassica</t>
  </si>
  <si>
    <t>Head weight; EU/China production</t>
  </si>
  <si>
    <t>1 cup raw or ½ cup cooked red cabbage</t>
  </si>
  <si>
    <t>Cool-season VIC/NSW/TAS — Jun–Oct</t>
  </si>
  <si>
    <t>NH: Nov–Feb (Europe)</t>
  </si>
  <si>
    <t>Cool cellar; pickle or ferment</t>
  </si>
  <si>
    <t>Cabbage (White)</t>
  </si>
  <si>
    <t>Cabbage, white, raw</t>
  </si>
  <si>
    <t>Head weight; Low: traditional; High: intensive EU</t>
  </si>
  <si>
    <t>1 cup raw or ½ cup cooked white cabbage</t>
  </si>
  <si>
    <t>VIC/NSW/SA cool season — May–Oct; QLD winter variety Jul–Sep</t>
  </si>
  <si>
    <t>Cool cellar; sauerkraut or pickle</t>
  </si>
  <si>
    <t>Chicory / Endive</t>
  </si>
  <si>
    <t>Chicory, raw</t>
  </si>
  <si>
    <t>Cichorium endivia</t>
  </si>
  <si>
    <t>endive</t>
  </si>
  <si>
    <t>tropical wet &amp; dry (Aw), tropical wet (Ar), steppe or semiarid (Bs), subtropical dry summer (Cs), temperate oceanic (Do), temperate continental (Dc), temperate with humid winters (Df), temperate with dry winters (Dw)</t>
  </si>
  <si>
    <t>Leaf/head; Belgium/Netherlands forcing production</t>
  </si>
  <si>
    <t>EXT Belgium/Netherlands — forcing chicons adds significant labour</t>
  </si>
  <si>
    <t>1 cup raw chicory/endive leaves</t>
  </si>
  <si>
    <t>Cool-season VIC/NSW — winter–spring; May–Oct</t>
  </si>
  <si>
    <t>NH: Oct–Mar (Belgium/Netherlands forcing)</t>
  </si>
  <si>
    <t>Chives</t>
  </si>
  <si>
    <t>Chives, raw</t>
  </si>
  <si>
    <t>Allium schoenoprasum</t>
  </si>
  <si>
    <t>chives</t>
  </si>
  <si>
    <t>chives, chive garlic, ezo-negi, cebolleta, ciboulette, schnittlauch, gräslök, purløg, basal, bieslook, cipollina, cebolinha, cebolinho, alho de Espanha, ceboleta de Franca, luk-rezanyets, hsia-ye-ts'ung</t>
  </si>
  <si>
    <t>tropical wet &amp; dry (Aw), tropical wet (Ar), steppe or semiarid (Bs), subtropical dry summer (Cs), temperate oceanic (Do), temperate continental (Dc), temperate with humid winters (Df), temperate with dry winters (Dw), boreal (E)</t>
  </si>
  <si>
    <t>Perennial herb; clump</t>
  </si>
  <si>
    <t>Fresh herb; repeated harvest</t>
  </si>
  <si>
    <t>EXT; LIT — multiple harvests per year</t>
  </si>
  <si>
    <t>1 cup fresh chives (~20g); typically condiment</t>
  </si>
  <si>
    <t>Year-round herb in most climates; QLD year-round, southern states mainly Sep–Mar</t>
  </si>
  <si>
    <t>NH: year-round in greenhouses; Apr–Oct outdoors</t>
  </si>
  <si>
    <t>Fresh; freeze or dry</t>
  </si>
  <si>
    <t>Coriander (Fresh)</t>
  </si>
  <si>
    <t>Coriander, fresh, raw</t>
  </si>
  <si>
    <t>Coriandrum sativum</t>
  </si>
  <si>
    <t>Coriandrum majus, Coriandrum diversifolium, Coriandrum globosum, Coriandrum melphitense, Selinum coriandrum, Coriandrum sativum L.</t>
  </si>
  <si>
    <t>coriander</t>
  </si>
  <si>
    <t>coriander, collender, Chinese parsley, coriandro, cilantro, cilandrio, culantro, curatù, coriandre, dhania, koriander, cigánypetrezselyem, beléndfû, zergefû, kusthumbari, dhanayaka, dembilal, koriandr, kinza, geshnes, ngo, coriandolo, kuzbara, chamem, yan sui, xiang cai, hu sui, kindza, kindz, koriannon, korion, dhanya, koendoro, ketumbar, kolendra, coentro, coriandru, koljandra, kisnec, vonjucee zel'e, klopovnik, Wanzendill, Schwindelkorn, korijander, persil arabe, kisnis, dhane, kothmiri, konphir, libdhane, kothambri, kothmiri bija, daaniwal, kothambalari, kothumpkalari bija, kothumpalari, dhana, kothimber, kothamali, dhaniyalu, debo, shucar, tsagha, zagda, tibichota, kazbarah, dhoney, nan nan zee, nan nan bin, naunau, fan yan sui, ketoembar, Indian parsley, koriandro, aedkoriander, korianteri, punaise mâle, coireiman, lus a choire, Wanzenkümmel, Chinesische Petersilie, Indische Petersilie, hara dhania, daun ketumbar, koyendoro, havija, kambari, phak hom pom, kottamalli, gishniiz, gashneez, kolendra</t>
  </si>
  <si>
    <t>Fresh leaf harvest; SE Asia/Middle East</t>
  </si>
  <si>
    <t>EXT India; LIT — rapid bolting; multiple quick crops</t>
  </si>
  <si>
    <t>1 cup fresh coriander leaves (~20g); typically condiment</t>
  </si>
  <si>
    <t>Cool weather preferred; QLD year-round; two peak seasons spring and autumn</t>
  </si>
  <si>
    <t>NH: Apr–Jun and Sep–Nov</t>
  </si>
  <si>
    <t>Refrigerate in water; dry seeds</t>
  </si>
  <si>
    <t>Dill</t>
  </si>
  <si>
    <t>Dill, fresh, raw</t>
  </si>
  <si>
    <t>Fresh herb weight; multiple harvests</t>
  </si>
  <si>
    <t>1 cup fresh dill (~20g); typically condiment</t>
  </si>
  <si>
    <t>Cool-season annual; two crops — autumn and spring; bolts in heat</t>
  </si>
  <si>
    <t>NH: Apr–Jun and Aug–Oct</t>
  </si>
  <si>
    <t>Kale</t>
  </si>
  <si>
    <t>Kale, raw</t>
  </si>
  <si>
    <t>Brassica oleracea var. acephala</t>
  </si>
  <si>
    <t>L. [DC.]</t>
  </si>
  <si>
    <t>Brassica oleracea var acephela plana (smooth kale), Brassica oleracea var acephela millecapitata (thou, Brassica oleracea var acephela palmifolia (tree ka, Brassica oleracea var acephela medullosa (marrow-s, Brassica oleracea var acephela (ornamental cabbage, Brassica oleracae var acephela laciniata (curly ka, Brassica oleracae var ramosa</t>
  </si>
  <si>
    <t>thousand head kale</t>
  </si>
  <si>
    <t>thousand head kale, thousand-head kale, marrowstem kale, marrow-stem kale, smooth kale, curly kale, tree kale, ornamental cabbage, fringed cabbage, kale, chou moulier, Sukuma wiki, spumaweki</t>
  </si>
  <si>
    <t>Leaf yield; EU/US commercial; multiple cuts</t>
  </si>
  <si>
    <t>HDC UK; USDA</t>
  </si>
  <si>
    <t>AHDB HDC; EXT US; LIT — multiple harvests</t>
  </si>
  <si>
    <t>1 cup raw or ½ cup cooked kale</t>
  </si>
  <si>
    <t>Cool-season VIC/TAS/NSW — best quality after frost; May–Oct</t>
  </si>
  <si>
    <t>NH: Oct–Feb (Scotland, USA)</t>
  </si>
  <si>
    <t>Refrigerate; blanch and freeze; dry as chips</t>
  </si>
  <si>
    <t>Lettuce (Cos)</t>
  </si>
  <si>
    <t>Lettuce, cos, raw</t>
  </si>
  <si>
    <t>Lactuca sativa var. capitata</t>
  </si>
  <si>
    <t>Lactuca sativa</t>
  </si>
  <si>
    <t>lettuce</t>
  </si>
  <si>
    <t>lettuce, garden lettuce, letisi, head lettuce, cabbage lettuce, butter-head lettuce, crisp-head lettuce, lattuga, lattich</t>
  </si>
  <si>
    <t>Annual; head lettuce</t>
  </si>
  <si>
    <t>Headed types; EU/USA commercial</t>
  </si>
  <si>
    <t>1 cup raw cos lettuce</t>
  </si>
  <si>
    <t>Year-round supply via QLD and SE Australia; best quality cool seasons: spring and autumn</t>
  </si>
  <si>
    <t>Fresh Only</t>
  </si>
  <si>
    <t>Refrigerate briefly</t>
  </si>
  <si>
    <t>Lettuce (Iceberg)</t>
  </si>
  <si>
    <t>Lettuce, iceberg, raw</t>
  </si>
  <si>
    <t>USA/Spain commercial; Salinas Valley high</t>
  </si>
  <si>
    <t>Migration Dialogue; ERS; AHDB HDC — 17,000 workers/285,000 ac lettuce</t>
  </si>
  <si>
    <t>1 cup raw iceberg lettuce</t>
  </si>
  <si>
    <t>Lockyer Valley QLD, SA, VIC — year-round; peak cool seasons</t>
  </si>
  <si>
    <t>NH: Apr–Jun and Sep–Nov (Salinas Valley CA)</t>
  </si>
  <si>
    <t>Mint</t>
  </si>
  <si>
    <t>Mint, fresh, raw</t>
  </si>
  <si>
    <t>Perennial herb; spreading via runners</t>
  </si>
  <si>
    <t>Fresh herb; multiple cuts; India/US commercial</t>
  </si>
  <si>
    <t>EXT; LIT — perennial; spreads; multiple cuts</t>
  </si>
  <si>
    <t>1 cup fresh mint (~20g); typically condiment</t>
  </si>
  <si>
    <t>Perennial; available Sep–Apr in southern states; QLD year-round</t>
  </si>
  <si>
    <t>NH: Apr–Oct</t>
  </si>
  <si>
    <t>Moringa (Horseradish Tree)</t>
  </si>
  <si>
    <t>Drumstick Leaves Raw</t>
  </si>
  <si>
    <t>Moringa oleifera</t>
  </si>
  <si>
    <t>Magnoliopsida:Dilleniidae:Capparales:Moringaceae</t>
  </si>
  <si>
    <t>Anoma moringa (L.) Lour., Anoma moringa (Linnaeus) Loureiro, 1970, Hyperanthera moringa (L.) Vahi., Hyperanthera moringa (Linnaeus) Vahl., 1970, Moringa erecta Salisb. (nom illegit.)., 1796, Moringa pterygosperma C.F. Gaertn., 1982, Guilandina moringa L. Standley, 1946, Moringa moringa (L.) Millsp. Standley, 1946, Moringa octogona Stokes. nom illegit., 1812, Moringa parvifolia Noronha. nom. illegit., 1790, Moringa polygona DC. nom. illegit.,1825, Moringa pterygosperma Gaertn. Standley, 1946, Moringa zeylanica Burmann., 1982, Moringa ovalifoliolata Dinter, 1914, Moringa ovalifolia Dinter &amp; Berger, 1987</t>
  </si>
  <si>
    <t>horseradish tree</t>
  </si>
  <si>
    <t>horseradish tree, ben oil tree, drumstick tree, clarifier tree, mother's best friend, moringa tree, cabbage tree, benzolive tree, malunggay, zogallagandi, okwe oyibo, mlonge, mzunze, ewe-igbale, meelsakboom, Aleco (Konsogna), Shiferaw (Amargna), Kalan'gi (Hamer-Bena)</t>
  </si>
  <si>
    <t>forage/pasture, fruits &amp; nuts, vegetables, materials, ornamentals/turf, medicinals &amp; aromatic, forest/wood, environmental</t>
  </si>
  <si>
    <t>tropical wet &amp; dry (Aw), steppe or semiarid (Bs), subtropical dry summer (Cs)</t>
  </si>
  <si>
    <t>Fast-growing tree; often cut back to 2 m</t>
  </si>
  <si>
    <t>Pod/leaf yield; dryland to irrigated tropical</t>
  </si>
  <si>
    <t>FAO; Trees for Life</t>
  </si>
  <si>
    <t>FAO; Trees for Life; LIT India — leaf strip harvest intensive</t>
  </si>
  <si>
    <t>½ cup cooked moringa leaves or pods</t>
  </si>
  <si>
    <t>Tropical QLD/NT — dry season harvest Jul–Dec for pods/leaves</t>
  </si>
  <si>
    <t>NH: Mar–Jun (India, SE Asia)</t>
  </si>
  <si>
    <t>Dry leaves as powder</t>
  </si>
  <si>
    <t>Parsley</t>
  </si>
  <si>
    <t>Parsley, continental, fresh, raw</t>
  </si>
  <si>
    <t>Petroselinum crispum</t>
  </si>
  <si>
    <t>(Mill.)Nym. ex A W Hill</t>
  </si>
  <si>
    <t>Carum petroselinum Benth., Petroselinum hortense Suct.</t>
  </si>
  <si>
    <t>parsley</t>
  </si>
  <si>
    <t>parsley, persil, Petersilie, prezzemolo, perejil, persilja, persille, baqdunis, peterselie, salsa, pyetrushka, paseri, yang-hu-sui, Petroselini folium, Petroselini radix</t>
  </si>
  <si>
    <t>Biennial herb</t>
  </si>
  <si>
    <t>Fresh leaf; EU/US commercial; multiple cuts</t>
  </si>
  <si>
    <t>HDC; Est.</t>
  </si>
  <si>
    <t>AHDB HDC; EXT; LIT</t>
  </si>
  <si>
    <t>1 cup fresh parsley (~25g); typically condiment</t>
  </si>
  <si>
    <t>Biennial herb; available most of year; best quality cool seasons spring/autumn</t>
  </si>
  <si>
    <t>Refrigerate in water; dry or freeze</t>
  </si>
  <si>
    <t>Parsley (Curly)</t>
  </si>
  <si>
    <t>Parsley, curly, fresh, raw</t>
  </si>
  <si>
    <t>1 cup fresh curly parsley (~25g); typically condiment</t>
  </si>
  <si>
    <t>Same as flat-leaf parsley; cool-season peak</t>
  </si>
  <si>
    <t>Rocket (Arugula)</t>
  </si>
  <si>
    <t>Rocket, fresh, raw</t>
  </si>
  <si>
    <t>Leaf yield; multiple cuts; Italy/UK commercial</t>
  </si>
  <si>
    <t>Est. HDC</t>
  </si>
  <si>
    <t>EXT Italy/UK; AHDB HDC; LIT</t>
  </si>
  <si>
    <t>1 cup raw rocket leaves</t>
  </si>
  <si>
    <t>Cool-season annual; quick crop; two main seasons spring and autumn</t>
  </si>
  <si>
    <t>NH: Apr–Jun and Sep–Oct</t>
  </si>
  <si>
    <t>0–1 weeks</t>
  </si>
  <si>
    <t>Rosemary</t>
  </si>
  <si>
    <t>Rosemary, fresh, raw</t>
  </si>
  <si>
    <t>Perennial shrub</t>
  </si>
  <si>
    <t>Herb; fresh weight; Mediterranean perennial</t>
  </si>
  <si>
    <t>EXT Mediterranean; LIT — perennial shrub; multiple cuts</t>
  </si>
  <si>
    <t>1 tbsp fresh rosemary (~5g); typically condiment</t>
  </si>
  <si>
    <t>Evergreen perennial — harvested year-round in all warm/temperate areas</t>
  </si>
  <si>
    <t>Year-round (Mediterranean perennial)</t>
  </si>
  <si>
    <t>Dry bunches; oil; standing plant</t>
  </si>
  <si>
    <t>Silverbeet / Swiss Chard</t>
  </si>
  <si>
    <t>Silverbeet, fresh, raw</t>
  </si>
  <si>
    <t>Beta vulgaris</t>
  </si>
  <si>
    <t>Silver beet</t>
  </si>
  <si>
    <t>Silver beet, Beetroot, Sugarbeet, Zuckerrübe</t>
  </si>
  <si>
    <t>roots/tubers, vegetables</t>
  </si>
  <si>
    <t>Leaf yield; multiple cuts; EU/USA commercial</t>
  </si>
  <si>
    <t>NSWDPI; LIT — multiple harvests</t>
  </si>
  <si>
    <t>½ cup cooked silverbeet</t>
  </si>
  <si>
    <t>Available most of year; best quality cool months; Apr–Nov</t>
  </si>
  <si>
    <t>Spinach (Baby)</t>
  </si>
  <si>
    <t>Spinach, baby, fresh, raw</t>
  </si>
  <si>
    <t>Spinacia oleracea</t>
  </si>
  <si>
    <t>spinach</t>
  </si>
  <si>
    <t>spinach, epinard, espinaca, spinacio</t>
  </si>
  <si>
    <t>steppe or semiarid (Bs), subtropical humid (Cf), subtropical dry summer (Cs), subtropical dry winter (Cw), temperate oceanic (Do), temperate continental (Dc), temperate with humid winters (Df), temperate with dry winters (Dw)</t>
  </si>
  <si>
    <t>Baby leaf; continuous harvest; EU/USA greenhouse</t>
  </si>
  <si>
    <t>AHDB HDC; LIT — quicker rotation, more harvests</t>
  </si>
  <si>
    <t>1 cup raw baby spinach</t>
  </si>
  <si>
    <t>Cool-season; VIC/SA/NSW — best quality Apr–Oct; QLD year-round</t>
  </si>
  <si>
    <t>Refrigerate briefly; blanch and freeze</t>
  </si>
  <si>
    <t>Spinach (Mature)</t>
  </si>
  <si>
    <t>Spinach, Mature English, fresh, raw</t>
  </si>
  <si>
    <t>Fresh weight; China dominant (&gt;70% global)</t>
  </si>
  <si>
    <t>ERS; AHDB HDC; NSWDPI</t>
  </si>
  <si>
    <t>1 cup raw or ½ cup cooked spinach</t>
  </si>
  <si>
    <t>Same as baby spinach season; cool-weather crop</t>
  </si>
  <si>
    <t>Sweet Potato</t>
  </si>
  <si>
    <t>Sweet Potato Leaves Raw</t>
  </si>
  <si>
    <t>Low: Africa subsistence; High: China commercial</t>
  </si>
  <si>
    <t>EXT North Carolina; NSWDPI; LIT</t>
  </si>
  <si>
    <t>½ medium sweet potato (~75g); starchy vegetable</t>
  </si>
  <si>
    <t>QLD (Bundaberg/South East QLD) — warm-season; harvested autumn Feb–Jun</t>
  </si>
  <si>
    <t>NH: Sep–Nov (USA, China)</t>
  </si>
  <si>
    <t>Cure then cool/dry/dark shed</t>
  </si>
  <si>
    <t>Turnip</t>
  </si>
  <si>
    <t>Turnip Greens</t>
  </si>
  <si>
    <t>Annual/biennial root vegetable</t>
  </si>
  <si>
    <t>Root yield; UK/EU commercial</t>
  </si>
  <si>
    <t>HDC UK; FAOSTAT</t>
  </si>
  <si>
    <t>½ cup cooked turnip</t>
  </si>
  <si>
    <t>Cool-season root; VIC/NSW/SA — Apr–Oct</t>
  </si>
  <si>
    <t>NH: Oct–Mar (Japan, UK)</t>
  </si>
  <si>
    <t>Cool/moist cellar or leave in ground</t>
  </si>
  <si>
    <t>Water Spinach</t>
  </si>
  <si>
    <t>Watercress</t>
  </si>
  <si>
    <t>Ipomoea aquatica</t>
  </si>
  <si>
    <t>Forskal</t>
  </si>
  <si>
    <t>Magnoliopsida:Asteridae:Solanales:Convolvulaceae</t>
  </si>
  <si>
    <t>Ipomoea reptans (L.) Poir., Ipomoea repens Roth.</t>
  </si>
  <si>
    <t>water spinach</t>
  </si>
  <si>
    <t>water spinach, swamp morning-glory, Chinese yung-tsai, kangkong</t>
  </si>
  <si>
    <t>heavy, organic</t>
  </si>
  <si>
    <t>Aquatic/semi-aquatic vine</t>
  </si>
  <si>
    <t>Aquatic/semi-aquatic leafy; SE Asia; rapid growth</t>
  </si>
  <si>
    <t>FAO Veg; FAOSTAT</t>
  </si>
  <si>
    <t>FAO SE Asia; LIT — multiple harvests, aquatic</t>
  </si>
  <si>
    <t>½ cup cooked water spinach</t>
  </si>
  <si>
    <t>Tropical/subtropical QLD — warm-season aquatic; Nov–Apr</t>
  </si>
  <si>
    <t>NH: Jun–Sep (SE Asia)</t>
  </si>
  <si>
    <t>Watercress, raw</t>
  </si>
  <si>
    <t>Nasturtium officinale</t>
  </si>
  <si>
    <t>R.Br.</t>
  </si>
  <si>
    <t>Sisymbrium nasturtium-aquaticum L., Rorippa nasturtium-aquaticum Hayek, Nasturtium fontanum Asch., Sisymbrium cardaminefolium Gilib</t>
  </si>
  <si>
    <t>watercress</t>
  </si>
  <si>
    <t>watercress, cresson d'eau, cresson de fontaine, wara kebis, brunnenkresse, agriao de agua, berro</t>
  </si>
  <si>
    <t>Aquatic/semi-aquatic herb</t>
  </si>
  <si>
    <t>Aquatic; UK commercial springs; multiple cuts</t>
  </si>
  <si>
    <t>HDC UK</t>
  </si>
  <si>
    <t>AHDB HDC watercress; LIT — aquatic system management</t>
  </si>
  <si>
    <t>1 cup raw watercress</t>
  </si>
  <si>
    <t>Cool springs/streams; VIC/NSW/TAS — best quality cool months; Apr–Oct</t>
  </si>
  <si>
    <t>NH: Oct–Mar (UK)</t>
  </si>
  <si>
    <t>Refrigerate in water</t>
  </si>
  <si>
    <t>Onion (Spring)</t>
  </si>
  <si>
    <t>Leaf/Green</t>
  </si>
  <si>
    <t>Onion, spring, fresh, raw</t>
  </si>
  <si>
    <t>Annual; bunching onion</t>
  </si>
  <si>
    <t>Bunching onion; rapid turnover</t>
  </si>
  <si>
    <t>Est. FAOSTAT</t>
  </si>
  <si>
    <t>Migration Dialogue 300h/ac; EXT; AHDB</t>
  </si>
  <si>
    <t>1 cup raw spring onion (~4–5 stalks)</t>
  </si>
  <si>
    <t>Available most of year in QLD; peak spring–summer nationally</t>
  </si>
  <si>
    <t>Almond</t>
  </si>
  <si>
    <t>Nut</t>
  </si>
  <si>
    <t>Nut, almond, with skin, raw, unsalted</t>
  </si>
  <si>
    <t>Prunus amygdalus</t>
  </si>
  <si>
    <t>Batsch.</t>
  </si>
  <si>
    <t>Prunus dulcis Miller, Prunus communis Arch., Amygdalus communis DC.</t>
  </si>
  <si>
    <t>almond</t>
  </si>
  <si>
    <t>almond, sweet almond, amandier, amendoeira, almendro</t>
  </si>
  <si>
    <t>desert or arid (Bw), steppe or semiarid (Bs), subtropical dry summer (Cs), temperate oceanic (Do), temperate continental (Dc), temperate with humid winters (Df), temperate with dry winters (Dw)</t>
  </si>
  <si>
    <t>In-shell; Low: dryland Spain; High: irrigated California</t>
  </si>
  <si>
    <t>ERS almond 2022; EXT California — mech shake-and-sweep harvest</t>
  </si>
  <si>
    <t>Lean Meats, Eggs, Nuts, Seeds &amp; Legumes</t>
  </si>
  <si>
    <t>30g almonds (~23 almonds); occasional substitute</t>
  </si>
  <si>
    <t>Riverland SA, Sunraysia VIC — harvested Feb–Mar (hull split triggers harvest)</t>
  </si>
  <si>
    <t>NH: Aug–Sep (California dominant; Spain)</t>
  </si>
  <si>
    <t>In-shell: cool/dry/dark; shelled: refrigerate or freeze</t>
  </si>
  <si>
    <t>0.5–2 years</t>
  </si>
  <si>
    <t>Brazil Nut</t>
  </si>
  <si>
    <t>Nut, brazil, raw or blanched, unsalted</t>
  </si>
  <si>
    <t>Bertholletia excelsa</t>
  </si>
  <si>
    <t>Humb. &amp; Bonpl.</t>
  </si>
  <si>
    <t>Magnoliopsida:Dilleniidae:Lecythidales:Lecythidaceae</t>
  </si>
  <si>
    <t>Bertholletia nobilis Miers, Bertholletia myrtaceae</t>
  </si>
  <si>
    <t>Brazil nut</t>
  </si>
  <si>
    <t>Brazil nut, para nut, noyer du Brésil, la noix du Brésil, el coquito del Brasil, castanha do Para, castanha do Brasil, castanheiro do para, die paranüsse, la noce del Brasile</t>
  </si>
  <si>
    <t>semi evergreen, deciduous, single stem</t>
  </si>
  <si>
    <t>Very large rainforest tree</t>
  </si>
  <si>
    <t>Wild harvest from forest; very low intensity</t>
  </si>
  <si>
    <t>LIT Amazon — almost entirely wild harvest; pod collection</t>
  </si>
  <si>
    <t>30g Brazil nuts (~3 nuts); occasional substitute</t>
  </si>
  <si>
    <t>Very limited FNQ tropical — pods fall Nov–Mar</t>
  </si>
  <si>
    <t>NH: Jan–Mar (Amazon Basin — wild harvest)</t>
  </si>
  <si>
    <t>In-shell: cool/dry; shelled: refrigerate</t>
  </si>
  <si>
    <t>Cashew</t>
  </si>
  <si>
    <t>Nut, cashew, raw, unsalted</t>
  </si>
  <si>
    <t>Anacardium occidentale</t>
  </si>
  <si>
    <t>mamuang himmaphan</t>
  </si>
  <si>
    <t>mamuang himmaphan, yaruang, mamuang letlor, cashew, cashew nut, acajou á pomme, noix d'acajou, marañon, casho, cashu, cajou, anacardier, caju, acajú, kasjoe, mereke, kaju, apu initia, kesiu, cashewnuss, cashewbaum, jambu mortyet, jambu mede, gajus, jambu monyet, kasoy, balubad, balogo, thiho thayet si, svaay chantii, dao lon hot, cay dieu, nut-cashew</t>
  </si>
  <si>
    <t>evergreen, single stem, multi stem, C3 photosynthesis</t>
  </si>
  <si>
    <t>tropical wet &amp; dry (Aw), steppe or semiarid (Bs), subtropical dry summer (Cs), subtropical dry winter (Cw)</t>
  </si>
  <si>
    <t>Nut in shell; Low: Africa/India; High: Vietnam intensive</t>
  </si>
  <si>
    <t>FAO India/Vietnam; LIT — shelling very labour intensive</t>
  </si>
  <si>
    <t>30g cashews (~18 cashews); occasional substitute</t>
  </si>
  <si>
    <t>FNQ tropical — limited production; spring–early summer</t>
  </si>
  <si>
    <t>NH: Mar–Jun (India, Vietnam, Ivory Coast)</t>
  </si>
  <si>
    <t>Dry, airtight — cool/dark</t>
  </si>
  <si>
    <t>3–6 months</t>
  </si>
  <si>
    <t>Chestnut</t>
  </si>
  <si>
    <t>Nut, chestnut, raw, unsalted</t>
  </si>
  <si>
    <t>Castanea sativa</t>
  </si>
  <si>
    <t>Magnoliopsida:Hamamelidae:Fagales:Fagaceae</t>
  </si>
  <si>
    <t>Castanea vesca Gaertn., Castanea vulgaris Lam., Fagus castanea L.</t>
  </si>
  <si>
    <t>chestnut</t>
  </si>
  <si>
    <t>chestnut, European chestnut, French chestnut, Italian chestnut, Spanish chestnut, Sardian chestnut, sweet chestnut, Congo stick, chataignier, castagno, Kastanienbaum, Edelkastanie, ægte kastanie, castanheiro vulgar, Castaneae folium, aila</t>
  </si>
  <si>
    <t>fruits &amp; nuts, materials, medicinals &amp; aromatic, forest/wood</t>
  </si>
  <si>
    <t>Large tree</t>
  </si>
  <si>
    <t>In-husk; Italy/China/Turkey dominant producers</t>
  </si>
  <si>
    <t>ERS; EXT Italy; LIT</t>
  </si>
  <si>
    <t>30g chestnuts; note: lower fat than other nuts</t>
  </si>
  <si>
    <t>VIC (Bright), TAS, NSW — autumn harvest after first frosts</t>
  </si>
  <si>
    <t>NH: Sep–Nov (Italy, China, Turkey)</t>
  </si>
  <si>
    <t>Refrigerate; freeze cooked; dry</t>
  </si>
  <si>
    <t>1–12 months</t>
  </si>
  <si>
    <t>Hazelnut</t>
  </si>
  <si>
    <t>Nut, hazelnut, raw, unsalted</t>
  </si>
  <si>
    <t>Corylus avellana</t>
  </si>
  <si>
    <t>Magnoliopsida:Hamamelidae:Fagales:Betulaceae</t>
  </si>
  <si>
    <t>hazel nut</t>
  </si>
  <si>
    <t>hazel nut, European hazel, cob nuts, Irish coll, fertile de Coutard, longue d'Espagne, lungha di Spagne, nocciolo, Gunslebenert Zellernuss, Gunslebert, Haselnuss, Haselnussbaum, hassel, hasselbuske, vanlig hassel, pähkinäpensas, Coryli folium</t>
  </si>
  <si>
    <t>subtropical humid (Cf), subtropical dry summer (Cs), temperate oceanic (Do), temperate continental (Dc)</t>
  </si>
  <si>
    <t>In-shell; Turkey (world leader) ~2 t/ha; Italy similar</t>
  </si>
  <si>
    <t>ERS; EXT Oregon; LIT Turkey</t>
  </si>
  <si>
    <t>30g hazelnuts (~20 hazelnuts); occasional substitute</t>
  </si>
  <si>
    <t>VIC/TAS — cool-temperate; Feb–April harvest</t>
  </si>
  <si>
    <t>NH: Sep–Oct (Turkey, Italy)</t>
  </si>
  <si>
    <t>Macadamia</t>
  </si>
  <si>
    <t>Nut, macadamia, raw, unsalted</t>
  </si>
  <si>
    <t>Macadamia integrifolia</t>
  </si>
  <si>
    <t>Maiden &amp; Betche</t>
  </si>
  <si>
    <t>Magnoliopsida:Rosidae:Proteales:Proteaceae</t>
  </si>
  <si>
    <t>macadamia nut</t>
  </si>
  <si>
    <t>macadamia nut, noz de macadamia</t>
  </si>
  <si>
    <t>fruits &amp; nuts, materials, ornamentals/turf, forest/wood, environmental</t>
  </si>
  <si>
    <t>Nut in shell; Australia/Hawaii/SA commercial</t>
  </si>
  <si>
    <t>FAOSTAT QCL; Aust.</t>
  </si>
  <si>
    <t>NSWDPI; EXT Hawaii; Aust. Macadamia Soc.</t>
  </si>
  <si>
    <t>30g macadamia nuts (~10–12 nuts); occasional substitute</t>
  </si>
  <si>
    <t>Northern NSW, SE QLD — main harvest Apr–Aug; peak May–Jul</t>
  </si>
  <si>
    <t>NH: Oct–Jan (Hawaii, South Africa)</t>
  </si>
  <si>
    <t>In-shell: cool/dry; shelled: refrigerate or freeze</t>
  </si>
  <si>
    <t>0.2–1 years</t>
  </si>
  <si>
    <t>Peanut</t>
  </si>
  <si>
    <t>Nut, peanut, with skin, raw, unsalted</t>
  </si>
  <si>
    <t>Arachis hypogaea</t>
  </si>
  <si>
    <t>Magnoliopsida:Rosidae:Fabales:Leguminosae</t>
  </si>
  <si>
    <t>groundnut</t>
  </si>
  <si>
    <t>groundnut, peanut, monkeynut, arachide, cacahuètes, Erdnuss, goober, mani, mani largo, pindels, pistach, pistache, pinat, pinati, earthnut, Manila nut, Chinese nut, pindar, goober pea, spagnoletta, nilakkadalai, kadalai</t>
  </si>
  <si>
    <t>pulses (grain legumes), vegetables, materials, medicinals &amp; aromatic</t>
  </si>
  <si>
    <t>pulses (grain legumes)</t>
  </si>
  <si>
    <t>tropical wet &amp; dry (Aw), steppe or semiarid (Bs), subtropical humid (Cf)</t>
  </si>
  <si>
    <t>hail, wind</t>
  </si>
  <si>
    <t>Annual herb; groundnut</t>
  </si>
  <si>
    <t>Pod yield; Low: Africa subsistence; High: US/China irrigated</t>
  </si>
  <si>
    <t>LIT Sudan Gezira (65 h/ha sow, peanut highest); ERS</t>
  </si>
  <si>
    <t>30g peanuts or 2 tbsp peanut butter; occasional substitute</t>
  </si>
  <si>
    <t>SE QLD (Kingaroy/South Burnett) — planted Nov, harvested Mar–May</t>
  </si>
  <si>
    <t>NH: Sep–Nov (China, India, USA)</t>
  </si>
  <si>
    <t>Dry in shell — cool/dry/dark</t>
  </si>
  <si>
    <t>Pecan</t>
  </si>
  <si>
    <t>Nut, pecan, raw, unsalted</t>
  </si>
  <si>
    <t>Carya illinoensis</t>
  </si>
  <si>
    <t>(Wangenh.) C. Koch</t>
  </si>
  <si>
    <t>Magnoliopsida:Hamamelidae:Juglandales:Juglandaceae</t>
  </si>
  <si>
    <t>Hicoria pecan (Marsh.) Britt., Carya oliviformis (Michx. f.) Nutt., Carya pecan (Marsh.) Engl. &amp; Graebn.</t>
  </si>
  <si>
    <t>steppe or semiarid (Bs), subtropical humid (Cf), subtropical dry summer (Cs), temperate oceanic (Do), temperate continental (Dc), temperate with humid winters (Df), temperate with dry winters (Dw)</t>
  </si>
  <si>
    <t>In-shell; USA (Georgia/New Mexico) commercial</t>
  </si>
  <si>
    <t>ERS pecan; EXT Georgia/Texas</t>
  </si>
  <si>
    <t>30g pecans (~15 halves); occasional substitute</t>
  </si>
  <si>
    <t>SA, QLD, NT — late summer–autumn harvest</t>
  </si>
  <si>
    <t>NH: Oct–Nov (USA Georgia, Texas)</t>
  </si>
  <si>
    <t>In-shell: cool/dry; shelled: freeze</t>
  </si>
  <si>
    <t>Pine Nut</t>
  </si>
  <si>
    <t>Nut, pine, raw, unsalted</t>
  </si>
  <si>
    <t>Pinus pinea</t>
  </si>
  <si>
    <t>Pinopsida:Pinaceae</t>
  </si>
  <si>
    <t>Italian stone pine</t>
  </si>
  <si>
    <t>Italian stone pine, Roman pine, umbrella pine, pignon pine, pignolia, bull pine, stone pine, nut pine, pin pignon, pin parasol, pino domestico, pino marittimo, pinheiro manso</t>
  </si>
  <si>
    <t>fruits &amp; nuts, ornamentals/turf, forest/wood, environmental</t>
  </si>
  <si>
    <t>fire, drought</t>
  </si>
  <si>
    <t>Tree; Italian stone pine</t>
  </si>
  <si>
    <t>Very low; wild or semi-managed forest; Spain/Italy</t>
  </si>
  <si>
    <t>FAO; Est.</t>
  </si>
  <si>
    <t>LIT Mediterranean/China — cone cracking very intensive</t>
  </si>
  <si>
    <t>30g pine nuts (~3 tbsp); occasional substitute</t>
  </si>
  <si>
    <t>Very limited SA/VIC — cone ripens autumn–winter</t>
  </si>
  <si>
    <t>NH: Sep–Nov (China, Mediterranean)</t>
  </si>
  <si>
    <t>Refrigerate or freeze</t>
  </si>
  <si>
    <t>Pistachio</t>
  </si>
  <si>
    <t>Nut, pistachio, raw, unsalted</t>
  </si>
  <si>
    <t>Pistacia vera</t>
  </si>
  <si>
    <t>Pistachio nut</t>
  </si>
  <si>
    <t>Pistachio nut, green almond, pistache, pistachier, pistachio, pistacio, alfostico, alfostigueiro</t>
  </si>
  <si>
    <t>steppe or semiarid (Bs), subtropical dry summer (Cs), temperate oceanic (Do)</t>
  </si>
  <si>
    <t>Shell-on; alternate bearing; Iran/USA (California)</t>
  </si>
  <si>
    <t>ERS pistachio; EXT California</t>
  </si>
  <si>
    <t>30g pistachios (~49 kernels); occasional substitute</t>
  </si>
  <si>
    <t>SA arid (Robinvale area), NT — harvested Feb–Mar</t>
  </si>
  <si>
    <t>NH: Sep–Oct (Iran, California)</t>
  </si>
  <si>
    <t>In-shell: cool/dry/dark</t>
  </si>
  <si>
    <t>Walnut</t>
  </si>
  <si>
    <t>Nut, walnut, raw, unsalted</t>
  </si>
  <si>
    <t>Juglans regia</t>
  </si>
  <si>
    <t>walnut</t>
  </si>
  <si>
    <t>walnut, walnut tree, Nussbaum, Walnussbaum, echte Walnuß, noce, noyer, nogal, valnød, almindelig valnød, valnöt, valnötsträd, äkta valnöt, Juglandis folium, Juglandis pericarpium, Juglandis disseptum</t>
  </si>
  <si>
    <t>fruits &amp; nuts, materials, ornamentals/turf, medicinals &amp; aromatic, forest/wood</t>
  </si>
  <si>
    <t>Large tree; Persian walnut</t>
  </si>
  <si>
    <t>In-shell; China/USA (California) commercial; alternate bearing</t>
  </si>
  <si>
    <t>ERS walnut; EXT California</t>
  </si>
  <si>
    <t>30g walnuts (~14 halves); occasional substitute</t>
  </si>
  <si>
    <t>VIC Ranges, NSW Southern Highlands, SA — March–April harvest</t>
  </si>
  <si>
    <t>NH: Sep–Oct (China, California, France)</t>
  </si>
  <si>
    <t>6–18 months</t>
  </si>
  <si>
    <t>Bean (Green)</t>
  </si>
  <si>
    <t>Pod</t>
  </si>
  <si>
    <t>Bean, green, fresh, raw</t>
  </si>
  <si>
    <t>Phaseolus vulgaris</t>
  </si>
  <si>
    <t>Phaseolus communis Pritzel, Phaseolus esculentus Salisb.</t>
  </si>
  <si>
    <t>common bean</t>
  </si>
  <si>
    <t>common bean, french bean, frijol, garden bean, green bean, wandou, Buschbohne, adenguare, Stangenbohne, Reiserbohne, habichuela, haricot, haricot bean, haricot commun, haricot francais, kidney bean, mange-tout, pois, snap bean, pini, piini, field bean, wax bean, bean - common, Phaseoli legumina</t>
  </si>
  <si>
    <t>pulses (grain legumes), forage/pasture, vegetables, medicinals &amp; aromatic</t>
  </si>
  <si>
    <t>Annual; bush type; climbing to 2.5 m</t>
  </si>
  <si>
    <t>Fresh pod weight; Low: subsistence; High: greenhouse</t>
  </si>
  <si>
    <t>EXT Iowa State (28h/100ft bed); Migration Dialogue; AHDB</t>
  </si>
  <si>
    <t>½ cup cooked green beans (75g); also counts as vegetable</t>
  </si>
  <si>
    <t>QLD/NSW warm-season crop; Oct–Apr; peak summer</t>
  </si>
  <si>
    <t>Blanch and freeze; dry as haricot</t>
  </si>
  <si>
    <t>0 wks – 24 mo</t>
  </si>
  <si>
    <t>Drumstick Pods Cooked Boiled Drained With Salt</t>
  </si>
  <si>
    <t>Okra</t>
  </si>
  <si>
    <t>Okra, raw</t>
  </si>
  <si>
    <t>Abelmoschus esculentus</t>
  </si>
  <si>
    <t>(L.) Moench</t>
  </si>
  <si>
    <t>Hibiscus esculentus L.</t>
  </si>
  <si>
    <t>okra</t>
  </si>
  <si>
    <t>abelmoskus, america-neri, bakhua mun, bamia, bamija, bamya, bandakai, bende', bhindee, bhindi, bindi, bumbo, bunga depros, calulu', cantarella, chaucha turca, dâu bap, Eibisch, frutto d‚ibisco, gobbo, gombaut, gombo, Gombro, haluyoy, huang qiu kui, ibisco, kacang bendi, kacang lender, kembang dapros, ketmie comestible, kopi arab, krachiap man, krachiapkhieo, lady fingers, lady's finger, mesta, ocra, okay, oker, okra, okro, okura, quiabo, quimbambo, quimgombó, quingombo, ramturai, rosenapfel, saluyota bunga, sayur bendi, tori, tuah lek, vendakai, yong kok dau</t>
  </si>
  <si>
    <t>Tropical; India/Nigeria commercial; pod yield</t>
  </si>
  <si>
    <t>EXT US South; NSWDPI; LIT — daily picking in peak season</t>
  </si>
  <si>
    <t>½ cup cooked okra</t>
  </si>
  <si>
    <t>Tropical/subtropical QLD/NT — warm-season crop; Oct–Apr</t>
  </si>
  <si>
    <t>NH: Jun–Sep (India, Nigeria)</t>
  </si>
  <si>
    <t>Refrigerate; dry or pickle; freeze</t>
  </si>
  <si>
    <t>Snow Pea</t>
  </si>
  <si>
    <t>Snow pea, fresh, raw</t>
  </si>
  <si>
    <t>Pisum sativum</t>
  </si>
  <si>
    <t>pea</t>
  </si>
  <si>
    <t>pea, garden pea, English pea, green pea, petits pois, guisante, arveja, erbse, mattar, ervilha, arapatao, bisillah</t>
  </si>
  <si>
    <t>prostrate/procumbent/semi-erect, climber/scrambler/scadent</t>
  </si>
  <si>
    <t>pulses (grain legumes), medicinals &amp; aromatic</t>
  </si>
  <si>
    <t>Annual climbing vine</t>
  </si>
  <si>
    <t>Pod yield; SE Asia/Kenya commercial export</t>
  </si>
  <si>
    <t>FAO Veg; Est.</t>
  </si>
  <si>
    <t>EXT; LIT — hand-picked fresh; trellis needed</t>
  </si>
  <si>
    <t>½ cup cooked snow peas (75g); also vegetable serve</t>
  </si>
  <si>
    <t>Cool-season; VIC/NSW/QLD highlands — Jul–Nov</t>
  </si>
  <si>
    <t>NH: Mar–Jun</t>
  </si>
  <si>
    <t>Tamarind</t>
  </si>
  <si>
    <t>Pod/Pulp</t>
  </si>
  <si>
    <t>Tamarinds</t>
  </si>
  <si>
    <t>Tamarindus indica</t>
  </si>
  <si>
    <t>Tamarindus occidentalis Gaertn. Fruct. 2000, Tamarindus officinalis Hook., Tamarindus umbrosa Salisb.</t>
  </si>
  <si>
    <t>tamarind</t>
  </si>
  <si>
    <t>tamarind, Indian date, Madeira mahogany, camalindo, sampaloc, tamarin, tamarindo, tamarainer, tamarindier, ardeib, tamarindeiro, tamarinho, tamarineiro, tamarinheiro, tamanha, jubai', tamarinde, tamarindizio, ambli, amli, imli, amalika, tintiff, tintul, tetul, chinch, chitz, asam jawa, assam, tambaring, chinta, sitta, pulian, tetili, salomagi, sampalok, kalamagi, makham, bakham, somkham, humer, masika, dakar (Senegal), ukwaju, arabeb, b/roka, racahu, dereho, dindie, ghroma, gianko, omar, aradeib, tamarihindi, shekere, kuashi, danufi, daharg, dakah, dakhar, ndakhar, roka, hemor, homor, humar, komar, tommar, siyambala, maha, mushishi, mkwaju, ol-masamburai, mwemba, hamar, khaam, mak kham, puli, magyi, magyee, majee-pen, tamarenn, 'am' pul, ampil, khoua me, kham, me, trai me, ttri, titis, paun, dabe, jammeh, jammi, homar, roka (Galinya), ragai (Soddu), tamarind-hendi, Rogo'ota (Konsogna), Koria (Wolayetgna)</t>
  </si>
  <si>
    <t>tropical wet &amp; dry (Aw), steppe or semiarid (Bs), subtropical humid (Cf), subtropical dry summer (Cs)</t>
  </si>
  <si>
    <t>Large long-lived tree</t>
  </si>
  <si>
    <t>Yield in pod; India/Thailand</t>
  </si>
  <si>
    <t>FAO India; LIT</t>
  </si>
  <si>
    <t>30g tamarind paste/pulp — used as condiment</t>
  </si>
  <si>
    <t>Tropical QLD/NT — dry season harvest; Aug–Dec</t>
  </si>
  <si>
    <t>NH: Feb–Apr (India, Thailand, Mexico)</t>
  </si>
  <si>
    <t>Paste or block — cool dry shelf</t>
  </si>
  <si>
    <t>Black-Eyed Pea (Cowpea)</t>
  </si>
  <si>
    <t>Pod/Seed</t>
  </si>
  <si>
    <t>Cowpeas Young Pods With Seeds Raw</t>
  </si>
  <si>
    <t>Vigna unguiculata ssp. stenophylla</t>
  </si>
  <si>
    <t>(L.) Walp. [(Harvey) Marechal et al.]</t>
  </si>
  <si>
    <t>Vigna angustifoliolata Verdc., Vigna stenophylla (Harvey) Burtt Davy</t>
  </si>
  <si>
    <t>cowpea</t>
  </si>
  <si>
    <t>cowpea, cow pea</t>
  </si>
  <si>
    <t>Annual; erect to trailing</t>
  </si>
  <si>
    <t>Dry seed; Low: Sahel; High: managed Nigeria/Burkina</t>
  </si>
  <si>
    <t>LIT Sudan Gezira; FAO West Africa; CGIAR</t>
  </si>
  <si>
    <t>1 cup cooked cowpeas (150g)</t>
  </si>
  <si>
    <t>Tropical QLD/NT — warm-season legume; Feb–May after wet season</t>
  </si>
  <si>
    <t>NH: Sep–Nov (Nigeria, India)</t>
  </si>
  <si>
    <t>Dry seed — cool/dry/dark</t>
  </si>
  <si>
    <t>Ginger</t>
  </si>
  <si>
    <t>Rhizome</t>
  </si>
  <si>
    <t>Ginger, peeled, fresh, raw</t>
  </si>
  <si>
    <t>Alpinia galanga</t>
  </si>
  <si>
    <t>(L.) Willd.</t>
  </si>
  <si>
    <t>Liliopsida:Zingiberidae:Zingiberales:Zingiberaceae</t>
  </si>
  <si>
    <t>Languas galanga Stuntz.</t>
  </si>
  <si>
    <t>galangal</t>
  </si>
  <si>
    <t>galangal, Java galangal, kholanjan, katauk karohini, kha, kha luang, kha ta daeng, kha yuak, kalijan, khulanjan, lenguas, hâu khá, rièng, rièng ãm, rièng nép, seh ae khoei, sa-e choei</t>
  </si>
  <si>
    <t>Rhizomatous herb; clump width</t>
  </si>
  <si>
    <t>Rhizome fresh weight</t>
  </si>
  <si>
    <t>NSWDPI; FAO India; LIT</t>
  </si>
  <si>
    <t>½ cup cooked ginger; typically condiment (10–20g)</t>
  </si>
  <si>
    <t>Subtropical QLD — planted Nov, harvested May–Oct; peak Jun–Aug</t>
  </si>
  <si>
    <t>NH: Oct–Jan (India, China)</t>
  </si>
  <si>
    <t>Cool/dark; freeze; dry or candy</t>
  </si>
  <si>
    <t>2–12 months</t>
  </si>
  <si>
    <t>Arrowroot</t>
  </si>
  <si>
    <t>Root</t>
  </si>
  <si>
    <t>Maranta arundinacea</t>
  </si>
  <si>
    <t>Liliopsida:Zingiberidae:Zingiberales:Marantaceae</t>
  </si>
  <si>
    <t>roots/tubers, materials, medicinals &amp; aromatic</t>
  </si>
  <si>
    <t>tropical wet (Ar), subtropical humid (Cf)</t>
  </si>
  <si>
    <t>Rhizomatous herb</t>
  </si>
  <si>
    <t>Rhizome/starch; Caribbean/SE Asia</t>
  </si>
  <si>
    <t>FAO Caribbean; LIT — starch extraction post-harvest intensive</t>
  </si>
  <si>
    <t>½ medium serve cooked arrowroot (~75g); starchy veg</t>
  </si>
  <si>
    <t>Tropical/subtropical QLD — harvested after die-back; autumn–winter</t>
  </si>
  <si>
    <t>NH: Oct–Feb (Caribbean, SE Asia)</t>
  </si>
  <si>
    <t>Cool, dark, dry; dry as starch</t>
  </si>
  <si>
    <t>Beetroot</t>
  </si>
  <si>
    <t>Beetroot, fresh, purple, peeled, raw</t>
  </si>
  <si>
    <t>Beta vulgaris var. saccharifera</t>
  </si>
  <si>
    <t>L.saccharifera - Alefeld</t>
  </si>
  <si>
    <t>sugarbeet</t>
  </si>
  <si>
    <t>sugarbeet, remolacha azucarera, betterave à sucre, tiancai, zuckerruebe, barbabietola da zucchero, tensai, sato daikon, sakharnaya svyokla</t>
  </si>
  <si>
    <t>heavy, medium, organic</t>
  </si>
  <si>
    <t>medium (16-25% of CEC</t>
  </si>
  <si>
    <t>high (&lt;5% of CEC)</t>
  </si>
  <si>
    <t>subtropical dry summer (Cs), subtropical dry winter (Cw), temperate oceanic (Do), temperate continental (Dc)</t>
  </si>
  <si>
    <t>Annual; root vegetable</t>
  </si>
  <si>
    <t>Root yield; UK/US commercial 40-60 t/ha</t>
  </si>
  <si>
    <t>½ cup cooked beetroot</t>
  </si>
  <si>
    <t>VIC/NSW/SA/WA — cool-season root; available most of year; peak autumn–winter</t>
  </si>
  <si>
    <t>Cool/moist cellar; pickle</t>
  </si>
  <si>
    <t>Carrot</t>
  </si>
  <si>
    <t>Carrot, mature, peeled, fresh, raw</t>
  </si>
  <si>
    <t>Daucus carota</t>
  </si>
  <si>
    <t>wild carrot</t>
  </si>
  <si>
    <t>wild carrot, devil's plague, Queen Anne's-lace, cenoura brava, karotte, mohrruebe, gelbe ruebe, morot, gulrot, gulerod, porkkana</t>
  </si>
  <si>
    <t>roots/tubers, forage/pasture, vegetables, materials, medicinals &amp; aromatic</t>
  </si>
  <si>
    <t>Annual root vegetable</t>
  </si>
  <si>
    <t>Root yield; Low: subsistence; High: UK/Netherlands commercial</t>
  </si>
  <si>
    <t>AHDB HDC; EXT Iowa State; NSWDPI</t>
  </si>
  <si>
    <t>½ cup cooked or 1 medium raw carrot</t>
  </si>
  <si>
    <t>Carnarvon WA, Mildura VIC, Riverina NSW — year-round; peak cool months</t>
  </si>
  <si>
    <t>Leave in ground; cool/moist cellar</t>
  </si>
  <si>
    <t>Cassava</t>
  </si>
  <si>
    <t>Cassava, peeled, fresh, raw</t>
  </si>
  <si>
    <t>Manihot esculenta</t>
  </si>
  <si>
    <t>Crantz</t>
  </si>
  <si>
    <t>Magnoliopsida:Dilleniidae:Euphorbiales:Euphorbiaceae</t>
  </si>
  <si>
    <t>Manihot utilissima Pohl, Janipha manihot (L.) Kunth, Jatropha manihot L., Manihot aipi Pohl, Manihot dulcis (J. F. Gmelin) Pax, Manihot manihot (L.) Cockerell, Manihot melanobasis Muell. Arg.</t>
  </si>
  <si>
    <t>cassava</t>
  </si>
  <si>
    <t>cassava, tapioca plant, manihot, manioc, maniok, cassave, mandioca, macaxeira (sweet varieties), yuca, aipim (Brazil), mushu, tapioka, pondu, saka-saka, yautia</t>
  </si>
  <si>
    <t>Shrub; root crop</t>
  </si>
  <si>
    <t>Root (same as vegetable section)</t>
  </si>
  <si>
    <t>CGIAR IITA; FAO; LIT (Ibarrola-Rivas) — root digging very intensive</t>
  </si>
  <si>
    <t>½ medium serve cooked cassava (~75g); starchy veg</t>
  </si>
  <si>
    <t>Tropical QLD/NT — year-round harvest; peak dry season Apr–Sep</t>
  </si>
  <si>
    <t>NH tropical: year-round</t>
  </si>
  <si>
    <t>Leave in ground; dry as flour</t>
  </si>
  <si>
    <t>2–4 days</t>
  </si>
  <si>
    <t>Celeriac</t>
  </si>
  <si>
    <t>Celeriac, peeled, raw</t>
  </si>
  <si>
    <t>Apium graveolens var. rapaceum</t>
  </si>
  <si>
    <t>L., (Miller) Gaudin</t>
  </si>
  <si>
    <t>Apium rapaceum</t>
  </si>
  <si>
    <t>celeriac</t>
  </si>
  <si>
    <t>celeriac, turnip rooted celery, knob celery, céleri-rave, knolselder, wurzelsellerie, knollensellerie, knolselderij, bleekselder</t>
  </si>
  <si>
    <t>prostrate/procumbent/semi-erect, acaulescent (or rosette plants)</t>
  </si>
  <si>
    <t>subtropical dry summer (Cs), subtropical dry winter (Cw), temperate oceanic (Do), temperate continental (Dc), temperate with humid winters (Df), temperate with dry winters (Dw), boreal (E)</t>
  </si>
  <si>
    <t>Biennial; root vegetable</t>
  </si>
  <si>
    <t>Root yield; EU commercial</t>
  </si>
  <si>
    <t>AHDB HDC; EXT Germany</t>
  </si>
  <si>
    <t>½ cup cooked celeriac</t>
  </si>
  <si>
    <t>VIC/TAS/NSW — winter root; May–Oct</t>
  </si>
  <si>
    <t>NH: Nov–Feb</t>
  </si>
  <si>
    <t>Cool/moist cellar</t>
  </si>
  <si>
    <t>Parsnip</t>
  </si>
  <si>
    <t>Parsnip, peeled, fresh, raw</t>
  </si>
  <si>
    <t>Pastinaca sativa</t>
  </si>
  <si>
    <t>parsnip</t>
  </si>
  <si>
    <t>parsnip, panais, pastinak</t>
  </si>
  <si>
    <t>Root yield; UK commercial 30-50 t/ha</t>
  </si>
  <si>
    <t>½ cup cooked parsnip</t>
  </si>
  <si>
    <t>VIC/TAS/NSW — winter root; sweetens after frost; May–Oct</t>
  </si>
  <si>
    <t>NH: Nov–Feb (UK, Netherlands)</t>
  </si>
  <si>
    <t>Radish</t>
  </si>
  <si>
    <t>Radish, red skinned, unpeeled, raw</t>
  </si>
  <si>
    <t>Raphanus sativus</t>
  </si>
  <si>
    <t>Bailey</t>
  </si>
  <si>
    <t>radish</t>
  </si>
  <si>
    <t>radish, Japanese radish, leafy daikon, daikon</t>
  </si>
  <si>
    <t>Root yield; rapid growth; Asia dominant</t>
  </si>
  <si>
    <t>½ cup raw radish</t>
  </si>
  <si>
    <t>Cool-season; available most of year; best Apr–Oct</t>
  </si>
  <si>
    <t>NH: Oct–Apr</t>
  </si>
  <si>
    <t>Swede (Rutabaga)</t>
  </si>
  <si>
    <t>Swede, peeled, fresh, raw</t>
  </si>
  <si>
    <t>Brassica napus var. napobrassica</t>
  </si>
  <si>
    <t>(L.) Reichb.</t>
  </si>
  <si>
    <t>swede</t>
  </si>
  <si>
    <t>swede, rutubaga</t>
  </si>
  <si>
    <t>roots/tubers, forage/pasture</t>
  </si>
  <si>
    <t>steppe or semiarid (Bs), subtropical humid (Cf), subtropical dry summer (Cs), subtropical dry winter (Cw), temperate oceanic (Do), temperate continental (Dc), temperate with humid winters (Df), temperate with dry winters (Dw), boreal (E)</t>
  </si>
  <si>
    <t>Root yield; UK/Canada commercial 40-60 t/ha</t>
  </si>
  <si>
    <t>½ cup cooked swede</t>
  </si>
  <si>
    <t>NH: Nov–Feb (Scandinavia, UK, Canada)</t>
  </si>
  <si>
    <t>Turnip, white, peeled, fresh, raw</t>
  </si>
  <si>
    <t>Turnips</t>
  </si>
  <si>
    <t>Bean (Broad/Fava)</t>
  </si>
  <si>
    <t>Seed</t>
  </si>
  <si>
    <t>Bean, broad, fresh, raw</t>
  </si>
  <si>
    <t>Phaseolus lunatus</t>
  </si>
  <si>
    <t>Phaseolus bipunctatus Jacq., Phaseolus inamoenus L., Phaseolus limensis Macfad., Phaseolus portoricensis Sprengel, Phaseolus puberulus Kunth, Phaseolus saccharatus Macfad., Phaseolus xuaresii Zuccagni</t>
  </si>
  <si>
    <t>broad bean</t>
  </si>
  <si>
    <t>broad bean, butter bean, lima bean, caraota de a€o, frijol de media luna, frijol de monte, frijol de ratón, frijolillo, gros pois, candou, guaracara, haba, haricot de sieva, pira de a€o, bean - broad</t>
  </si>
  <si>
    <t>pulses (grain legumes), forage/pasture, vegetables, ornamentals/turf, medicinals &amp; aromatic</t>
  </si>
  <si>
    <t>Annual; upright or climbing</t>
  </si>
  <si>
    <t>Dry seed; Low: subsistence; High: UK/Australia commercial</t>
  </si>
  <si>
    <t>AHDB HDC; NSWDPI; LIT</t>
  </si>
  <si>
    <t>1 cup cooked broad beans (150g)</t>
  </si>
  <si>
    <t>SA, VIC, WA — cool-season; planted autumn, harvested Sep–Nov; frost-tolerant</t>
  </si>
  <si>
    <t>NH: Apr–Jun (UK, Europe, Egypt)</t>
  </si>
  <si>
    <t>Bean (Butter)</t>
  </si>
  <si>
    <t>Bean, butter, fresh, raw</t>
  </si>
  <si>
    <t>Annual; bush type</t>
  </si>
  <si>
    <t>Lima/butter bean dry seed; similar to broad bean</t>
  </si>
  <si>
    <t>1 cup cooked butter beans (150g)</t>
  </si>
  <si>
    <t>Warm-season; QLD/NSW summer crop; Dec–Apr</t>
  </si>
  <si>
    <t>Chia Seed</t>
  </si>
  <si>
    <t>Seed, chia, dried</t>
  </si>
  <si>
    <t>Low: traditional Andean; High: commercial Mexico/Bolivia</t>
  </si>
  <si>
    <t>EXT Mexico/Bolivia; LIT</t>
  </si>
  <si>
    <t>30g chia seeds (~2 tbsp); occasional substitute</t>
  </si>
  <si>
    <t>NT/Kimberley WA — tropical crop; planted wet season, harvested Apr–May</t>
  </si>
  <si>
    <t>NH: Oct–Nov (Mexico, Bolivia)</t>
  </si>
  <si>
    <t>Dry seed — cool/dark, airtight</t>
  </si>
  <si>
    <t>24–48 months</t>
  </si>
  <si>
    <t>2–4 years</t>
  </si>
  <si>
    <t>Chickpea</t>
  </si>
  <si>
    <t>Chickpea, dried</t>
  </si>
  <si>
    <t>Cicer arietinum</t>
  </si>
  <si>
    <t>chickpea</t>
  </si>
  <si>
    <t>chickpea, Bengal gram, pois chiche, cafe francais, gravancos, sigro, hanaz, djelbane</t>
  </si>
  <si>
    <t>Dry seed; Low: dryland; High: irrigated India/Australia</t>
  </si>
  <si>
    <t>EXT Australia NSWDPI; FAO; LIT (Gezira)</t>
  </si>
  <si>
    <t>1 cup cooked chickpeas (150g)</t>
  </si>
  <si>
    <t>QLD (winter dryland crop) — planted May, harvested Sep–Nov</t>
  </si>
  <si>
    <t>NH: May–Jul (India, Pakistan)</t>
  </si>
  <si>
    <t>Dry seed — cool/dry/dark, airtight</t>
  </si>
  <si>
    <t>Hemp Seed</t>
  </si>
  <si>
    <t>Seed, hemp, dried</t>
  </si>
  <si>
    <t>Annual herb; fiber/seed type</t>
  </si>
  <si>
    <t>Seed yield only; fiber types much lower seed yield</t>
  </si>
  <si>
    <t>FAOSTAT QCL; Est.</t>
  </si>
  <si>
    <t>30g hemp seeds (~3 tbsp); occasional substitute</t>
  </si>
  <si>
    <t>QLD, NSW, VIC (emerging) — warm-season; Feb–Apr harvest</t>
  </si>
  <si>
    <t>NH: Aug–Sep (Canada, Europe)</t>
  </si>
  <si>
    <t>Cool/dark, airtight — refrigerate hulled</t>
  </si>
  <si>
    <t>Hyacinth Bean</t>
  </si>
  <si>
    <t>Hyacinth-Beans Immature Seeds Raw</t>
  </si>
  <si>
    <t>Annual vine; climbing</t>
  </si>
  <si>
    <t>Dry seed; tropical subsistence legume</t>
  </si>
  <si>
    <t>FAO Asia; LIT tropical legume</t>
  </si>
  <si>
    <t>1 cup cooked hyacinth beans (150g); must be cooked</t>
  </si>
  <si>
    <t>Tropical QLD/NT — warm-season vine; Jan–Apr</t>
  </si>
  <si>
    <t>NH: Sep–Nov (India, SE Asia)</t>
  </si>
  <si>
    <t>Lentil (Green)</t>
  </si>
  <si>
    <t>Lentil, green, hulled, dry</t>
  </si>
  <si>
    <t>Lens culinaris</t>
  </si>
  <si>
    <t>Medikus</t>
  </si>
  <si>
    <t>Ervum lens L., Lens esculenta</t>
  </si>
  <si>
    <t>lentil</t>
  </si>
  <si>
    <t>lentil, red dhal, split pea, lentille, lenteja, lenticchia, adas, mercimek, messer, masser, heramame, shimfa, missr, linse</t>
  </si>
  <si>
    <t>Dry seed; Low: dryland Canada/Turkey; High: irrigated</t>
  </si>
  <si>
    <t>EXT Canada; NSWDPI; LIT</t>
  </si>
  <si>
    <t>1 cup cooked green lentils (150g)</t>
  </si>
  <si>
    <t>NSW, SA, WA — cool-season dryland; planted May, harvested Sep–Nov</t>
  </si>
  <si>
    <t>NH: Jun–Aug (Canada, Turkey, India)</t>
  </si>
  <si>
    <t>Lentil (Red)</t>
  </si>
  <si>
    <t>Lentil, red, hulled, dry</t>
  </si>
  <si>
    <t>Dry seed; same as green lentil production</t>
  </si>
  <si>
    <t>EXT Canada; LIT</t>
  </si>
  <si>
    <t>1 cup cooked red lentils (150g)</t>
  </si>
  <si>
    <t>SA, NSW, WA — same season as green lentil</t>
  </si>
  <si>
    <t>Linseed / Flaxseed</t>
  </si>
  <si>
    <t>Seed, linseed or flaxseed</t>
  </si>
  <si>
    <t>Seed yield; Canada/Russia dominant producers</t>
  </si>
  <si>
    <t>EXT Canada; AHDB</t>
  </si>
  <si>
    <t>30g linseeds (~2 tbsp); occasional substitute</t>
  </si>
  <si>
    <t>SA, VIC, WA — winter crop; harvested Oct–Dec</t>
  </si>
  <si>
    <t>NH: Jul–Aug (Canada, Russia)</t>
  </si>
  <si>
    <t>Dry seed — cool/dark, airtight; refrigerate ground</t>
  </si>
  <si>
    <t>Lupin</t>
  </si>
  <si>
    <t>Lupin, whole, uncooked</t>
  </si>
  <si>
    <t>Lupinus mutabilis</t>
  </si>
  <si>
    <t>Sweet</t>
  </si>
  <si>
    <t>Lupinus tauris</t>
  </si>
  <si>
    <t>Andean lupin</t>
  </si>
  <si>
    <t>Andean lupin, South American lupin, sweet Bolivian lupine, pearl lupin, altramuz, chocho, lupino, raewi (Peru, Bolivia), tauri (Bolivia), chocho (Ecuador, Peru), chochito (Ecuador, Peru), cequela (Peru), chuchus (Bolivia), tarwi, tauri</t>
  </si>
  <si>
    <t>pulses (grain legumes), forage/pasture, ornamentals/turf, medicinals &amp; aromatic</t>
  </si>
  <si>
    <t>Dry seed; Australia dominant; white lupin higher potential</t>
  </si>
  <si>
    <t>EXT Australia GRDC; LIT</t>
  </si>
  <si>
    <t>1 cup cooked lupin beans (150g)</t>
  </si>
  <si>
    <t>WA (dominant producer), SA, VIC — cool-season; harvested Oct–Nov</t>
  </si>
  <si>
    <t>NH: Jul–Aug (Poland, Australia exports)</t>
  </si>
  <si>
    <t>Pea (Green)</t>
  </si>
  <si>
    <t>Pea, green, fresh, raw</t>
  </si>
  <si>
    <t>Annual vine; climbing types to 2 m</t>
  </si>
  <si>
    <t>Fresh shelled pea; processing/frozen crop UK/USA</t>
  </si>
  <si>
    <t>AHDB HDC peas; EXT UK; LIT</t>
  </si>
  <si>
    <t>1 cup cooked green peas (150g); also vegetable serve</t>
  </si>
  <si>
    <t>VIC, TAS, SA — cool-season crop; planted autumn/winter, harvested Aug–Nov</t>
  </si>
  <si>
    <t>NH: Apr–Jun (UK, Netherlands)</t>
  </si>
  <si>
    <t>Blanch and freeze; dry as split peas</t>
  </si>
  <si>
    <t>0 wks – 36 mo</t>
  </si>
  <si>
    <t>Pigeon Pea</t>
  </si>
  <si>
    <t>Pigeonpeas Immature Seeds Raw</t>
  </si>
  <si>
    <t>Cajanus cajan</t>
  </si>
  <si>
    <t>(L.) Millsp.</t>
  </si>
  <si>
    <t>Cajanus bicolor DC., Cajanus flavus DC., Cajanus indicus Sprengel, Cajanus indicus var. bicolor (DC.) Kuntze, Cajanus indicus var. flavus (DC.) Kuntze, Cajanus indicus var. maculatus Kuntze, Cajanus luteus Bello, Cytisus cajan L., Cajanus cajan forma bicolor (DC.) Baker, Cajanus cajan var. bicolor (DC.) Purseglove, Cajanus cajan var. flavus (DC.) Purseglove, Cajanus obcordifolia D.N.Singh, Cajanus pseudocajan (Jacq.) Schinz &amp; Guillaumin</t>
  </si>
  <si>
    <t>congo pea</t>
  </si>
  <si>
    <t>congo pea, pigeon pea, frijol de arbol, gandul, gandures, guandul, guand, guandú, kumanda yvyra'í (Paraguay), gungo pea, lenteja, pigeon pea bush, pois cajan, pois congo, pois d'angole, pois d'angolie, Pigeonerbse, pwa angole, arhar, quinchonchillo, quinchoncho, thuvarai, duiweboon</t>
  </si>
  <si>
    <t>Perennial shrub; short-lived</t>
  </si>
  <si>
    <t>Dry seed; India dominant (80%+ global); drought-tolerant</t>
  </si>
  <si>
    <t>FAO India; CGIAR; LIT</t>
  </si>
  <si>
    <t>1 cup cooked pigeon peas (150g)</t>
  </si>
  <si>
    <t>Tropical QLD — perennial legume; harvested dry season (green pods or dry)</t>
  </si>
  <si>
    <t>NH: Nov–Jan (India, Caribbean)</t>
  </si>
  <si>
    <t>Pumpkin Seed</t>
  </si>
  <si>
    <t>Seed, pumpkin, hulled &amp; dried</t>
  </si>
  <si>
    <t>Vine; same plant as pumpkin</t>
  </si>
  <si>
    <t>Hull-less (Styrian) pumpkin seed; Austria/Slovenia</t>
  </si>
  <si>
    <t>EXT Austria/Slovenia hull-less pumpkin seed; LIT</t>
  </si>
  <si>
    <t>30g pumpkin seeds (~2 tbsp); occasional substitute</t>
  </si>
  <si>
    <t>Warm-season; harvested with pumpkin crop; autumn Feb–Jun</t>
  </si>
  <si>
    <t>NH: Sep–Nov (Austria, China)</t>
  </si>
  <si>
    <t>Sesame Seed</t>
  </si>
  <si>
    <t>Seed, sesame, unsalted</t>
  </si>
  <si>
    <t>Low: subsistence Africa; High: intensive India/Myanmar</t>
  </si>
  <si>
    <t>FAO Asia/Africa; LIT — capsule shattering makes hand harvest tricky</t>
  </si>
  <si>
    <t>30g sesame seeds or 2 tbsp tahini; occasional substitute</t>
  </si>
  <si>
    <t>Tropical QLD/NT — warm-season; planted wet season, harvested dry season</t>
  </si>
  <si>
    <t>NH: Oct–Nov (India, Myanmar, Sudan)</t>
  </si>
  <si>
    <t>Soybean</t>
  </si>
  <si>
    <t>Soybeans Green Cooked Boiled Drained With Salt</t>
  </si>
  <si>
    <t>Glycine max</t>
  </si>
  <si>
    <t>(L.) Merrill.</t>
  </si>
  <si>
    <t>Dolichos soja L., Glycine gracilis Skvortzov, Glycine hispida (Moench) Maxim., Phaseolus max L., Soja angustifolia Miq., Soja hispida Moench, Soja japonica Savi, Soja max (L.) Piper, Soja viridis Savi</t>
  </si>
  <si>
    <t>soya bean</t>
  </si>
  <si>
    <t>soya bean, soyabean, soybean, soya, sojaboon, sojaplant, sojaboontjie, fejao soja, soja, dadou, soia piini, bean - soya, Sojabohne</t>
  </si>
  <si>
    <t>Annual; erect herb</t>
  </si>
  <si>
    <t>Dry seed; Low: Brazil smallholder; High: USA/Brazil intensive</t>
  </si>
  <si>
    <t>ERS soybean 2021; FINBIN; LIT</t>
  </si>
  <si>
    <t>1 cup cooked soybeans / edamame (150g)</t>
  </si>
  <si>
    <t>Northern NSW, QLD — warm-season legume; Feb–May harvest</t>
  </si>
  <si>
    <t>NH: Sep–Oct (USA, Brazil)</t>
  </si>
  <si>
    <t>Sunflower Seed</t>
  </si>
  <si>
    <t>Seed, sunflower</t>
  </si>
  <si>
    <t>Annual herb; oilseed types</t>
  </si>
  <si>
    <t>Oil seed type; Low: dryland; High: irrigated EU/Ukraine</t>
  </si>
  <si>
    <t>30g sunflower seeds (~3 tbsp); occasional substitute</t>
  </si>
  <si>
    <t>QLD/NSW — warm-season oilseed; Feb–May harvest</t>
  </si>
  <si>
    <t>NH: Sep–Oct (Ukraine, Russia, Argentina)</t>
  </si>
  <si>
    <t>Wattle Seed (Native)</t>
  </si>
  <si>
    <t>Wattle seed (acacia), ground</t>
  </si>
  <si>
    <t>Shrub/small tree; Acacia</t>
  </si>
  <si>
    <t>Wild harvest; emerging small-scale production; Australia</t>
  </si>
  <si>
    <t>Aust. Govt bush food; LIT — emerging; mainly wild</t>
  </si>
  <si>
    <t>30g wattle seed powder; used as a flour/seed</t>
  </si>
  <si>
    <t>Arid SA/WA — harvested when pods dry and split; spring–summer</t>
  </si>
  <si>
    <t>Australian endemic</t>
  </si>
  <si>
    <t>Winged Bean</t>
  </si>
  <si>
    <t>Winged Beans Immature Seeds Raw</t>
  </si>
  <si>
    <t>Psophocarpus tetragonolobus</t>
  </si>
  <si>
    <t>(L.) DC.</t>
  </si>
  <si>
    <t>Psophocarpus tetragonolobus (Stickm.) DC., Psophocarpus longepedunculatus Hassk., Dolichos tetragonolobus L., Botor tetragonolobus (L.) Kuntze.</t>
  </si>
  <si>
    <t>winged bean</t>
  </si>
  <si>
    <t>winged bean, Goa bean, princess bean, four angled bean, asparagus bean, asparagus pea, princess-pea, supermarket bean, short day asparagus pea, pois asperge, pois carré, haricot ailé, pois ailé, dólico de Goa, frijol alado, judia careta, calamismi, flügelbohne, Goabohne, sikaku mame, pe saung ya, hto pong, ku bemya, si leng dou, si jiao dou, sz kok tau, Goabønne, ketjipir, Goanpapu, fagiolo quadrato, prâpiëy, thwàx ph'uu, kecipir, kethipir, ketjeepir, kachang botol, kacang botol, kacang kelisa, kachang botor, kacang botor, kacang sirek, kechang bolon, kachang belimbing, fava de cavalo, vingböna, segidilla, sigarilya, sigarillas, sigadillas, thua phuu, dau rong, kalamismis, kabey, asbin, as bin</t>
  </si>
  <si>
    <t>pulses (grain legumes), roots/tubers, forage/pasture, vegetables, materials, cover crop, environmental</t>
  </si>
  <si>
    <t>Tropical perennial vine</t>
  </si>
  <si>
    <t>Tropical legume; PNG/SE Asia; multiple edible parts</t>
  </si>
  <si>
    <t>FAO Papua; LIT</t>
  </si>
  <si>
    <t>1 cup cooked winged beans (150g)</t>
  </si>
  <si>
    <t>Tropical QLD — warm-season; Feb–May</t>
  </si>
  <si>
    <t>NH: Oct–Dec (PNG, SE Asia)</t>
  </si>
  <si>
    <t>Asparagus</t>
  </si>
  <si>
    <t>Shoot</t>
  </si>
  <si>
    <t>Asparagus, green, raw</t>
  </si>
  <si>
    <t>Asparagus officinalis</t>
  </si>
  <si>
    <t>Liliopsida:Liliidae:Asparagales:Asparagaceae</t>
  </si>
  <si>
    <t>Asparagus altilis Asch.</t>
  </si>
  <si>
    <t>asparagus</t>
  </si>
  <si>
    <t>asparagus, espárrago, aspargo, Spargel</t>
  </si>
  <si>
    <t>Perennial; fern-like fronds at maturity</t>
  </si>
  <si>
    <t>Spear yield; Low: year 2-3; High: mature EU commercial</t>
  </si>
  <si>
    <t>Migration Dialogue 150h/ac fresh asparagus; ERS; AHDB HDC — establishment yr costly</t>
  </si>
  <si>
    <t>½ cup cooked asparagus (~5 spears)</t>
  </si>
  <si>
    <t>Koo Wee Rup VIC, Riverina NSW, SA — spring flush Aug–Dec; peak Sep–Nov</t>
  </si>
  <si>
    <t>NH: Apr–Jun (Europe/USA)</t>
  </si>
  <si>
    <t>Refrigerate upright in water; freeze blanched</t>
  </si>
  <si>
    <t>Bamboo</t>
  </si>
  <si>
    <t>Bamboo Shoots</t>
  </si>
  <si>
    <t>Bambusa blumeana</t>
  </si>
  <si>
    <t>Schult.f.</t>
  </si>
  <si>
    <t>Spiny bamboo, thorny bamboo, Bambu duri (Indonesia), Haur cucuk (Sudanese), Su pring gesing (Javanese), Malaysia: buloh duri, buloh sikai, Philippines: kauayan-tinik (Tagalog), Batakan (Bisaya), ka-wayan-sitan (Ilokano), Cambodia: russei roliek, Laos: phaix bainz, Thailand: phai sisuk, Vietnam: tre gai</t>
  </si>
  <si>
    <t>bamboo</t>
  </si>
  <si>
    <t>bamboo, spiny bamboo, thorny bamboo</t>
  </si>
  <si>
    <t>Clumping or running; very variable by species</t>
  </si>
  <si>
    <t>Shoot yield t/ha/yr; Moso bamboo 10-20; tropical species vary</t>
  </si>
  <si>
    <t>FAO Bamboo</t>
  </si>
  <si>
    <t>FAO bamboo; LIT Asia — shoots harvested annually; perennial</t>
  </si>
  <si>
    <t>½ cup cooked bamboo shoots</t>
  </si>
  <si>
    <t>SE QLD/northern NSW subtropical; spring shoot flush Jul–Nov</t>
  </si>
  <si>
    <t>NH: Apr–Jun (Japan, China)</t>
  </si>
  <si>
    <t>Refrigerate; pickle or ferment</t>
  </si>
  <si>
    <t>Celery</t>
  </si>
  <si>
    <t>Stalk</t>
  </si>
  <si>
    <t>Celery, fresh, raw</t>
  </si>
  <si>
    <t>Apium graveolens var. dulce</t>
  </si>
  <si>
    <t>celery</t>
  </si>
  <si>
    <t>erect, acaulescent (or rosette plants)</t>
  </si>
  <si>
    <t>vegetables, materials</t>
  </si>
  <si>
    <t>tropical wet &amp; dry (Aw), steppe or semiarid (Bs), subtropical dry summer (Cs), temperate oceanic (Do), temperate continental (Dc), temperate with humid winters (Df), temperate with dry winters (Dw), boreal (E)</t>
  </si>
  <si>
    <t>Low: field; High: intensive commercial (USA/UK)</t>
  </si>
  <si>
    <t>1 cup raw celery (2–3 stalks)</t>
  </si>
  <si>
    <t>VIC Maribyrnong Valley, NSW — cool-season peak; available most of year</t>
  </si>
  <si>
    <t>NH: Oct–Feb (USA, Spain)</t>
  </si>
  <si>
    <t>Refrigerate wrapped; freeze</t>
  </si>
  <si>
    <t>Rhubarb</t>
  </si>
  <si>
    <t>Rhubarb, stalk, raw</t>
  </si>
  <si>
    <t>Rheum rhaponticum</t>
  </si>
  <si>
    <t>rhubarb</t>
  </si>
  <si>
    <t>rhubarb, Rabarber</t>
  </si>
  <si>
    <t>UK/EU; forced rhubarb higher; fresh stalk weight</t>
  </si>
  <si>
    <t>1 cup cooked rhubarb (classified as vegetable botanically but used as fruit)</t>
  </si>
  <si>
    <t>Cool-temperate VIC/TAS/NSW — spring flush; Aug–Dec</t>
  </si>
  <si>
    <t>NH: Mar–Jun (UK, USA Midwest)</t>
  </si>
  <si>
    <t>Freeze or stew and bottle</t>
  </si>
  <si>
    <t>Sago</t>
  </si>
  <si>
    <t>Starch</t>
  </si>
  <si>
    <t>Sago, dry, uncooked</t>
  </si>
  <si>
    <t>Metroxylon sagu</t>
  </si>
  <si>
    <t>Rottb.</t>
  </si>
  <si>
    <t>Metroxylon rumphii (Willd.) Mart., Metroxylon rumphii Mart</t>
  </si>
  <si>
    <t>sago palm</t>
  </si>
  <si>
    <t>sago palm, true sago palm, sago, sagoutier, sagopalme, pohon, ambulung, kirai (Sudan), saksak</t>
  </si>
  <si>
    <t>vegetables, forest/wood</t>
  </si>
  <si>
    <t>Palm</t>
  </si>
  <si>
    <t>Starch yield per ha equivalent; palm plantation</t>
  </si>
  <si>
    <t>FAO Pacific; LIT — multi-year crop; harvest+processing (starch extraction) very intensive</t>
  </si>
  <si>
    <t>½ cup cooked sago pearls (~100g)</t>
  </si>
  <si>
    <t>Year-round in tropical FNQ/NT — palms harvested 7–15 years after planting; no seasonal restriction</t>
  </si>
  <si>
    <t>Year-round (Papua New Guinea, Indonesia)</t>
  </si>
  <si>
    <t>Dried starch — cool/dry/dark</t>
  </si>
  <si>
    <t>Kohlrabi</t>
  </si>
  <si>
    <t>Stem/Bulb</t>
  </si>
  <si>
    <t>Kohlrabi, peeled, fresh, raw</t>
  </si>
  <si>
    <t>Brassica oleracea var. gongyloides</t>
  </si>
  <si>
    <t>Brassica caulorapa</t>
  </si>
  <si>
    <t>Swollen stem yield; Germany/Central Europe</t>
  </si>
  <si>
    <t>½ cup cooked kohlrabi</t>
  </si>
  <si>
    <t>Cool-season VIC/NSW — Apr–Oct</t>
  </si>
  <si>
    <t>NH: Oct–Mar (Germany, Eastern Europe)</t>
  </si>
  <si>
    <t>Artichoke (Jerusalem)</t>
  </si>
  <si>
    <t>Tuber</t>
  </si>
  <si>
    <t>Artichoke, jerusalem, peeled, raw</t>
  </si>
  <si>
    <t>Helianthus tuberosus</t>
  </si>
  <si>
    <t>Jerusalem artichoke</t>
  </si>
  <si>
    <t>Jerusalem artichoke, earth apple, sunchoke, topinambour, girasole, tupinambo, giganteia, girassol batateiro</t>
  </si>
  <si>
    <t>roots/tubers, forage/pasture, materials</t>
  </si>
  <si>
    <t>Perennial herb; spreading via tubers</t>
  </si>
  <si>
    <t>Tuber yield; easy-to-grow perennial</t>
  </si>
  <si>
    <t>EXT; AHDB; LIT</t>
  </si>
  <si>
    <t>½ medium Jerusalem artichoke (~75g)</t>
  </si>
  <si>
    <t>VIC/NSW/TAS — harvested after die-back; late autumn–winter</t>
  </si>
  <si>
    <t>NH: Nov–Mar</t>
  </si>
  <si>
    <t>Leave in ground; or cool/moist cellar</t>
  </si>
  <si>
    <t>Potato</t>
  </si>
  <si>
    <t>Potato, pale skin, peeled, raw</t>
  </si>
  <si>
    <t>Solanum tuberosum</t>
  </si>
  <si>
    <t>Solanum esculentum Neck.</t>
  </si>
  <si>
    <t>potato</t>
  </si>
  <si>
    <t>potato, tuber, spud, Irish potato, white potato, Spanish potato, pomme de terre, patate, batata, batateira vulgar, papa, vateta, aartappel, katoffel, Kartoffel, peruna, potaati, potatis, patata</t>
  </si>
  <si>
    <t>roots/tubers, medicinals &amp; aromatic</t>
  </si>
  <si>
    <t>poisonous to man or animals</t>
  </si>
  <si>
    <t>Annual; tuber vegetable</t>
  </si>
  <si>
    <t>Low: subsistence tropics; High: Netherlands &gt;50 t/ha</t>
  </si>
  <si>
    <t>ERS potato 2022; AHDB HDC; NSWDPI</t>
  </si>
  <si>
    <t>½ medium potato (~75g); starchy vegetable</t>
  </si>
  <si>
    <t>VIC (Ballarat), TAS, WA, SA — available year-round from storage; spring new potatoes Oct–Dec</t>
  </si>
  <si>
    <t>NH: Aug–Nov (main crop); stored year-round</t>
  </si>
  <si>
    <t>Cool/dark/dry cellar</t>
  </si>
  <si>
    <t>3–8 months</t>
  </si>
  <si>
    <t>Sweet Potatoes</t>
  </si>
  <si>
    <t>Sweet Potato (Orange)</t>
  </si>
  <si>
    <t>Sweet potato, orange flesh, peeled, fresh, raw</t>
  </si>
  <si>
    <t>Trailing vine</t>
  </si>
  <si>
    <t>Similar to sweet potato general</t>
  </si>
  <si>
    <t>EXT North Carolina; LIT</t>
  </si>
  <si>
    <t>½ medium sweet potato (~75g)</t>
  </si>
  <si>
    <t>QLD dominant; warm-season; Feb–Jun autumn harvest</t>
  </si>
  <si>
    <t>Sweet Potato (Purple)</t>
  </si>
  <si>
    <t>Sweet potato, purple flesh, peeled, raw</t>
  </si>
  <si>
    <t>Similar; premium market</t>
  </si>
  <si>
    <t>LIT</t>
  </si>
  <si>
    <t>Tropical QLD/NT; autumn–winter harvest</t>
  </si>
  <si>
    <t>Sweet Potato (White)</t>
  </si>
  <si>
    <t>Sweet potato, white flesh, peeled, raw</t>
  </si>
  <si>
    <t>Similar to orange flesh variety</t>
  </si>
  <si>
    <t>QLD; autumn harvest similar to orange variety</t>
  </si>
  <si>
    <t>Yam</t>
  </si>
  <si>
    <t>Mountain Yam Hawaii Raw</t>
  </si>
  <si>
    <t>Dioscorea alata</t>
  </si>
  <si>
    <t>Liliopsida:Liliidae:Dioscoreales:Dioscoreaceae</t>
  </si>
  <si>
    <t>Dioscorea rubella, Dioscorea atropurpurea Roxb., Dioscorea purpurea Roxb., Dioscorea sativa Del.</t>
  </si>
  <si>
    <t>cultivated yam</t>
  </si>
  <si>
    <t>cultivated yam, greater yam, white yam, water yam, winged yam, ten-months yam, Malacca yam, Guyana arrowroot, igname, inhame da India, inhame de Coriola', marquesota, cara' de Angola, cara' da Guine', dam, ngaka, pae, ni-parai(Cook I), pua-hi(Cook I), ufi (Cook I), uvi, vutua, ufi, aso'aso, au poto, tafasoa, uvi (Simbo), marihi (Roviana), yam tru (except in Madang Province), ñame de agua, ñame</t>
  </si>
  <si>
    <t>roots/tubers, environmental</t>
  </si>
  <si>
    <t>Climbing vine; height of support; spread = vine length</t>
  </si>
  <si>
    <t>Tuber yield; Nigeria/West Africa dominant</t>
  </si>
  <si>
    <t>FAO West Africa; CGIAR — staking, mounding, very labour-intensive</t>
  </si>
  <si>
    <t>½ medium yam (~75g); starchy vegetable</t>
  </si>
  <si>
    <t>Tropical QLD Pacific communities — harvested dry season after die-back; Apr–Sep</t>
  </si>
  <si>
    <t>NH: Oct–Jan (Nigeria, West Africa)</t>
  </si>
  <si>
    <t>Cool, dark, dry and ventilated — not cold</t>
  </si>
  <si>
    <t xml:space="preserve"> </t>
  </si>
  <si>
    <t>ZONE</t>
  </si>
  <si>
    <t>SOIL</t>
  </si>
  <si>
    <t>HEIGHT</t>
  </si>
  <si>
    <t>Common</t>
  </si>
  <si>
    <t>Scie</t>
  </si>
  <si>
    <t>HYDRO</t>
  </si>
  <si>
    <t>DORMANCY</t>
  </si>
  <si>
    <t>WATERLOG</t>
  </si>
  <si>
    <t>SHADE</t>
  </si>
  <si>
    <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</si>
</sst>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ptos Narrow"/>
      <family val="2"/>
      <charset val="1"/>
    </font>
    <font>
      <b/>
      <sz val="11"/>
      <color rgb="FFFFFFFF"/>
      <name val="Arial"/>
      <charset val="1"/>
    </font>
    <font>
      <b/>
      <sz val="9"/>
      <color rgb="FFFFFFFF"/>
      <name val="Arial"/>
      <charset val="1"/>
    </font>
    <font>
      <b/>
      <sz val="9"/>
      <name val="Arial"/>
      <charset val="1"/>
    </font>
    <font>
      <sz val="9"/>
      <name val="Arial"/>
      <charset val="1"/>
    </font>
    <font>
      <sz val="9"/>
      <color rgb="FFCCCCCC"/>
      <name val="Arial"/>
      <charset val="1"/>
    </font>
    <font>
      <sz val="9"/>
      <color rgb="FF145A32"/>
      <name val="Arial"/>
      <charset val="1"/>
    </font>
    <font>
      <b/>
      <sz val="9"/>
      <color rgb="FFF57F17"/>
      <name val="Arial"/>
      <charset val="1"/>
    </font>
    <font>
      <b/>
      <sz val="9"/>
      <color rgb="FFE65100"/>
      <name val="Arial"/>
      <charset val="1"/>
    </font>
    <font>
      <b/>
      <sz val="9"/>
      <color rgb="FF1B5E20"/>
      <name val="Arial"/>
      <charset val="1"/>
    </font>
    <font>
      <b/>
      <sz val="9"/>
      <color rgb="FF0D47A1"/>
      <name val="Arial"/>
      <charset val="1"/>
    </font>
    <font>
      <b/>
      <sz val="9"/>
      <color rgb="FFB71C1C"/>
      <name val="Arial"/>
      <charset val="1"/>
    </font>
  </fonts>
  <fills count="43">
    <fill>
      <patternFill patternType="none"/>
    </fill>
    <fill>
      <patternFill patternType="gray125"/>
    </fill>
    <fill>
      <patternFill patternType="solid">
        <fgColor rgb="FF2C3E50"/>
        <bgColor rgb="FF2E4030"/>
      </patternFill>
    </fill>
    <fill>
      <patternFill patternType="solid">
        <fgColor rgb="FF1A5276"/>
        <bgColor rgb="FF1F618D"/>
      </patternFill>
    </fill>
    <fill>
      <patternFill patternType="solid">
        <fgColor rgb="FF145A32"/>
        <bgColor rgb="FF1B5E20"/>
      </patternFill>
    </fill>
    <fill>
      <patternFill patternType="solid">
        <fgColor rgb="FF7B3F00"/>
        <bgColor rgb="FF7B2D00"/>
      </patternFill>
    </fill>
    <fill>
      <patternFill patternType="solid">
        <fgColor rgb="FF1B5E20"/>
        <bgColor rgb="FF145A32"/>
      </patternFill>
    </fill>
    <fill>
      <patternFill patternType="solid">
        <fgColor rgb="FF004D6E"/>
        <bgColor rgb="FF1A5276"/>
      </patternFill>
    </fill>
    <fill>
      <patternFill patternType="solid">
        <fgColor rgb="FF7B2D00"/>
        <bgColor rgb="FF7B3F00"/>
      </patternFill>
    </fill>
    <fill>
      <patternFill patternType="solid">
        <fgColor rgb="FF2E4030"/>
        <bgColor rgb="FF2C3E50"/>
      </patternFill>
    </fill>
    <fill>
      <patternFill patternType="solid">
        <fgColor rgb="FF4A235A"/>
        <bgColor rgb="FF2C3E50"/>
      </patternFill>
    </fill>
    <fill>
      <patternFill patternType="solid">
        <fgColor rgb="FF1A4731"/>
        <bgColor rgb="FF2E4030"/>
      </patternFill>
    </fill>
    <fill>
      <patternFill patternType="solid">
        <fgColor rgb="FF5D4037"/>
        <bgColor rgb="FF7B3F00"/>
      </patternFill>
    </fill>
    <fill>
      <patternFill patternType="solid">
        <fgColor rgb="FF3D566E"/>
        <bgColor rgb="FF1A5276"/>
      </patternFill>
    </fill>
    <fill>
      <patternFill patternType="solid">
        <fgColor rgb="FF1F618D"/>
        <bgColor rgb="FF1A5276"/>
      </patternFill>
    </fill>
    <fill>
      <patternFill patternType="solid">
        <fgColor rgb="FF196F3D"/>
        <bgColor rgb="FF2E7D32"/>
      </patternFill>
    </fill>
    <fill>
      <patternFill patternType="solid">
        <fgColor rgb="FFFEF9E7"/>
        <bgColor rgb="FFFFF3E0"/>
      </patternFill>
    </fill>
    <fill>
      <patternFill patternType="solid">
        <fgColor rgb="FFFFFFFF"/>
        <bgColor rgb="FFFDFDF5"/>
      </patternFill>
    </fill>
    <fill>
      <patternFill patternType="solid">
        <fgColor rgb="FFF5F5F5"/>
        <bgColor rgb="FFF0F5F0"/>
      </patternFill>
    </fill>
    <fill>
      <patternFill patternType="solid">
        <fgColor rgb="FFA8E6BB"/>
        <bgColor rgb="FFA5D6A7"/>
      </patternFill>
    </fill>
    <fill>
      <patternFill patternType="solid">
        <fgColor rgb="FF1DB954"/>
        <bgColor rgb="FF2E7D32"/>
      </patternFill>
    </fill>
    <fill>
      <patternFill patternType="solid">
        <fgColor rgb="FFFFF9C4"/>
        <bgColor rgb="FFFFF3E0"/>
      </patternFill>
    </fill>
    <fill>
      <patternFill patternType="solid">
        <fgColor rgb="FFFDFDF5"/>
        <bgColor rgb="FFFFFFFF"/>
      </patternFill>
    </fill>
    <fill>
      <patternFill patternType="solid">
        <fgColor rgb="FFEBF5FB"/>
        <bgColor rgb="FFEEF7F0"/>
      </patternFill>
    </fill>
    <fill>
      <patternFill patternType="solid">
        <fgColor rgb="FFEAFAF1"/>
        <bgColor rgb="FFEEF7F0"/>
      </patternFill>
    </fill>
    <fill>
      <patternFill patternType="solid">
        <fgColor rgb="FFFFF3E0"/>
        <bgColor rgb="FFFFF0E0"/>
      </patternFill>
    </fill>
    <fill>
      <patternFill patternType="solid">
        <fgColor rgb="FFE8F5E9"/>
        <bgColor rgb="FFEEF7F0"/>
      </patternFill>
    </fill>
    <fill>
      <patternFill patternType="solid">
        <fgColor rgb="FFE0F4FF"/>
        <bgColor rgb="FFEBF5FB"/>
      </patternFill>
    </fill>
    <fill>
      <patternFill patternType="solid">
        <fgColor rgb="FFFFF0E0"/>
        <bgColor rgb="FFFFF3E0"/>
      </patternFill>
    </fill>
    <fill>
      <patternFill patternType="solid">
        <fgColor rgb="FFF0F5F0"/>
        <bgColor rgb="FFEEF7F0"/>
      </patternFill>
    </fill>
    <fill>
      <patternFill patternType="solid">
        <fgColor rgb="FFF5EEF8"/>
        <bgColor rgb="FFF5F5F5"/>
      </patternFill>
    </fill>
    <fill>
      <patternFill patternType="solid">
        <fgColor rgb="FFEBEBEB"/>
        <bgColor rgb="FFF5EEF8"/>
      </patternFill>
    </fill>
    <fill>
      <patternFill patternType="solid">
        <fgColor rgb="FFEEF7F0"/>
        <bgColor rgb="FFF0F5F0"/>
      </patternFill>
    </fill>
    <fill>
      <patternFill patternType="solid">
        <fgColor rgb="FFFFE0B2"/>
        <bgColor rgb="FFFFCDD2"/>
      </patternFill>
    </fill>
    <fill>
      <patternFill patternType="solid">
        <fgColor rgb="FFFBE9E7"/>
        <bgColor rgb="FFFFF0E0"/>
      </patternFill>
    </fill>
    <fill>
      <patternFill patternType="solid">
        <fgColor rgb="FFFFCC80"/>
        <bgColor rgb="FFFFE0B2"/>
      </patternFill>
    </fill>
    <fill>
      <patternFill patternType="solid">
        <fgColor rgb="FFC8E6C9"/>
        <bgColor rgb="FFA8E6BB"/>
      </patternFill>
    </fill>
    <fill>
      <patternFill patternType="solid">
        <fgColor rgb="FFA5D6A7"/>
        <bgColor rgb="FFA8E6BB"/>
      </patternFill>
    </fill>
    <fill>
      <patternFill patternType="solid">
        <fgColor rgb="FFBBDEFB"/>
        <bgColor rgb="FFC8E6C9"/>
      </patternFill>
    </fill>
    <fill>
      <patternFill patternType="solid">
        <fgColor rgb="FFFFF176"/>
        <bgColor rgb="FFFFE0B2"/>
      </patternFill>
    </fill>
    <fill>
      <patternFill patternType="solid">
        <fgColor rgb="FFFFCDD2"/>
        <bgColor rgb="FFFFE0B2"/>
      </patternFill>
    </fill>
    <fill>
      <patternFill patternType="solid">
        <fgColor rgb="FFEF9A9A"/>
        <bgColor rgb="FFFFCC80"/>
      </patternFill>
    </fill>
    <fill>
      <patternFill patternType="solid">
        <fgColor rgb="FF2E7D32"/>
        <bgColor rgb="FF196F3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9">
    <xf numFmtId="0" fontId="0" fillId="0" borderId="0" xfId="0"/>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1" fillId="9" borderId="0" xfId="0" applyFont="1" applyFill="1" applyAlignment="1">
      <alignment horizontal="center" vertical="center" wrapText="1"/>
    </xf>
    <xf numFmtId="0" fontId="2" fillId="13" borderId="1" xfId="0" applyFont="1" applyFill="1" applyBorder="1" applyAlignment="1">
      <alignment horizontal="center" vertical="center"/>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3" fillId="16" borderId="1" xfId="0" applyFont="1" applyFill="1" applyBorder="1" applyAlignment="1">
      <alignment horizontal="left" vertical="center"/>
    </xf>
    <xf numFmtId="0" fontId="4" fillId="17" borderId="1" xfId="0" applyFont="1" applyFill="1" applyBorder="1" applyAlignment="1">
      <alignment horizontal="left" vertical="center"/>
    </xf>
    <xf numFmtId="0" fontId="4" fillId="17" borderId="1" xfId="0" applyFont="1" applyFill="1" applyBorder="1" applyAlignment="1">
      <alignment horizontal="center" vertical="center"/>
    </xf>
    <xf numFmtId="2" fontId="4" fillId="17" borderId="1" xfId="0" applyNumberFormat="1" applyFont="1" applyFill="1" applyBorder="1" applyAlignment="1">
      <alignment horizontal="center" vertical="center"/>
    </xf>
    <xf numFmtId="164" fontId="4" fillId="17" borderId="1" xfId="0" applyNumberFormat="1" applyFont="1" applyFill="1" applyBorder="1" applyAlignment="1">
      <alignment horizontal="center" vertical="center"/>
    </xf>
    <xf numFmtId="1" fontId="4" fillId="17" borderId="1" xfId="0" applyNumberFormat="1" applyFont="1" applyFill="1" applyBorder="1" applyAlignment="1">
      <alignment horizontal="center" vertical="center" wrapText="1"/>
    </xf>
    <xf numFmtId="1" fontId="3" fillId="17" borderId="1" xfId="0" applyNumberFormat="1" applyFont="1" applyFill="1" applyBorder="1" applyAlignment="1">
      <alignment horizontal="center" vertical="center" wrapText="1"/>
    </xf>
    <xf numFmtId="0" fontId="5" fillId="18" borderId="1" xfId="0" applyFont="1" applyFill="1" applyBorder="1" applyAlignment="1">
      <alignment horizontal="center" vertical="center"/>
    </xf>
    <xf numFmtId="0" fontId="6" fillId="19" borderId="1" xfId="0" applyFont="1" applyFill="1" applyBorder="1" applyAlignment="1">
      <alignment horizontal="center" vertical="center"/>
    </xf>
    <xf numFmtId="0" fontId="2" fillId="20" borderId="1" xfId="0" applyFont="1" applyFill="1" applyBorder="1" applyAlignment="1">
      <alignment horizontal="center" vertical="center"/>
    </xf>
    <xf numFmtId="0" fontId="7" fillId="21"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4" fillId="22" borderId="1" xfId="0" applyFont="1" applyFill="1" applyBorder="1" applyAlignment="1">
      <alignment horizontal="left" vertical="center"/>
    </xf>
    <xf numFmtId="0" fontId="4" fillId="23" borderId="1" xfId="0" applyFont="1" applyFill="1" applyBorder="1" applyAlignment="1">
      <alignment horizontal="center" vertical="center"/>
    </xf>
    <xf numFmtId="0" fontId="4" fillId="24" borderId="1" xfId="0" applyFont="1" applyFill="1" applyBorder="1" applyAlignment="1">
      <alignment horizontal="center" vertical="center"/>
    </xf>
    <xf numFmtId="2" fontId="4" fillId="25" borderId="1" xfId="0" applyNumberFormat="1" applyFont="1" applyFill="1" applyBorder="1" applyAlignment="1">
      <alignment horizontal="center" vertical="center"/>
    </xf>
    <xf numFmtId="0" fontId="4" fillId="25" borderId="1" xfId="0" applyFont="1" applyFill="1" applyBorder="1" applyAlignment="1">
      <alignment horizontal="left" vertical="center"/>
    </xf>
    <xf numFmtId="164" fontId="4" fillId="26" borderId="1" xfId="0" applyNumberFormat="1" applyFont="1" applyFill="1" applyBorder="1" applyAlignment="1">
      <alignment horizontal="center" vertical="center"/>
    </xf>
    <xf numFmtId="0" fontId="4" fillId="26" borderId="1" xfId="0" applyFont="1" applyFill="1" applyBorder="1" applyAlignment="1">
      <alignment horizontal="left" vertical="center"/>
    </xf>
    <xf numFmtId="1" fontId="4" fillId="27" borderId="1" xfId="0" applyNumberFormat="1" applyFont="1" applyFill="1" applyBorder="1" applyAlignment="1">
      <alignment horizontal="center" vertical="center" wrapText="1"/>
    </xf>
    <xf numFmtId="1" fontId="4" fillId="28" borderId="1" xfId="0" applyNumberFormat="1" applyFont="1" applyFill="1" applyBorder="1" applyAlignment="1">
      <alignment horizontal="center" vertical="center" wrapText="1"/>
    </xf>
    <xf numFmtId="0" fontId="4" fillId="29" borderId="1" xfId="0" applyFont="1" applyFill="1" applyBorder="1" applyAlignment="1">
      <alignment horizontal="left" vertical="center"/>
    </xf>
    <xf numFmtId="0" fontId="4" fillId="30" borderId="1" xfId="0" applyFont="1" applyFill="1" applyBorder="1" applyAlignment="1">
      <alignment horizontal="left" vertical="center"/>
    </xf>
    <xf numFmtId="1" fontId="3" fillId="30" borderId="1" xfId="0" applyNumberFormat="1" applyFont="1" applyFill="1" applyBorder="1" applyAlignment="1">
      <alignment horizontal="center" vertical="center" wrapText="1"/>
    </xf>
    <xf numFmtId="0" fontId="5" fillId="31" borderId="1" xfId="0" applyFont="1" applyFill="1" applyBorder="1" applyAlignment="1">
      <alignment horizontal="center" vertical="center"/>
    </xf>
    <xf numFmtId="0" fontId="4" fillId="32" borderId="1" xfId="0" applyFont="1" applyFill="1" applyBorder="1" applyAlignment="1">
      <alignment horizontal="left" vertical="center"/>
    </xf>
    <xf numFmtId="0" fontId="8" fillId="33" borderId="1" xfId="0" applyFont="1" applyFill="1" applyBorder="1" applyAlignment="1">
      <alignment horizontal="center" vertical="center" wrapText="1"/>
    </xf>
    <xf numFmtId="0" fontId="4" fillId="34" borderId="1" xfId="0" applyFont="1" applyFill="1" applyBorder="1" applyAlignment="1">
      <alignment horizontal="left" vertical="center"/>
    </xf>
    <xf numFmtId="0" fontId="4" fillId="34" borderId="1" xfId="0" applyFont="1" applyFill="1" applyBorder="1" applyAlignment="1">
      <alignment horizontal="center" vertical="center" wrapText="1"/>
    </xf>
    <xf numFmtId="1" fontId="3" fillId="34" borderId="1" xfId="0" applyNumberFormat="1" applyFont="1" applyFill="1" applyBorder="1" applyAlignment="1">
      <alignment horizontal="center" vertical="center" wrapText="1"/>
    </xf>
    <xf numFmtId="0" fontId="4" fillId="35" borderId="1" xfId="0" applyFont="1" applyFill="1" applyBorder="1" applyAlignment="1">
      <alignment horizontal="center" vertical="center" wrapText="1"/>
    </xf>
    <xf numFmtId="0" fontId="9" fillId="36"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0" fontId="0" fillId="0" borderId="1" xfId="0" applyBorder="1"/>
    <xf numFmtId="0" fontId="10" fillId="38" borderId="1" xfId="0" applyFont="1" applyFill="1" applyBorder="1" applyAlignment="1">
      <alignment horizontal="center" vertical="center" wrapText="1"/>
    </xf>
    <xf numFmtId="0" fontId="4" fillId="39" borderId="1" xfId="0" applyFont="1" applyFill="1" applyBorder="1" applyAlignment="1">
      <alignment horizontal="center" vertical="center" wrapText="1"/>
    </xf>
    <xf numFmtId="0" fontId="4" fillId="33" borderId="1" xfId="0" applyFont="1" applyFill="1" applyBorder="1" applyAlignment="1">
      <alignment horizontal="center" vertical="center" wrapText="1"/>
    </xf>
    <xf numFmtId="0" fontId="4" fillId="40" borderId="1" xfId="0" applyFont="1" applyFill="1" applyBorder="1" applyAlignment="1">
      <alignment horizontal="center" vertical="center" wrapText="1"/>
    </xf>
    <xf numFmtId="0" fontId="4" fillId="41" borderId="1" xfId="0" applyFont="1" applyFill="1" applyBorder="1" applyAlignment="1">
      <alignment horizontal="center" vertical="center" wrapText="1"/>
    </xf>
    <xf numFmtId="0" fontId="2" fillId="42" borderId="1" xfId="0" applyFont="1" applyFill="1" applyBorder="1" applyAlignment="1">
      <alignment horizontal="center" vertical="center" wrapText="1"/>
    </xf>
    <xf numFmtId="0" fontId="11" fillId="40" borderId="1" xfId="0" applyFont="1" applyFill="1" applyBorder="1" applyAlignment="1">
      <alignment horizontal="center" vertical="center" wrapText="1"/>
    </xf>
    <xf numFmtId="0" fontId="4" fillId="17" borderId="0" xfId="0" applyFont="1" applyFill="1" applyAlignment="1">
      <alignment horizontal="center" vertical="center"/>
    </xf>
    <xf numFmtId="0" fontId="4" fillId="24" borderId="0" xfId="0" applyFont="1" applyFill="1" applyAlignment="1">
      <alignment horizontal="center" vertical="center"/>
    </xf>
    <xf numFmtId="2" fontId="0" fillId="0" borderId="0" xfId="0" applyNumberFormat="1"/>
    <xf numFmtId="0" fontId="1" fillId="11" borderId="0" xfId="0" applyFont="1" applyFill="1" applyAlignment="1">
      <alignment horizontal="center" vertical="center"/>
    </xf>
    <xf numFmtId="0" fontId="1" fillId="12"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1" fillId="1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FEF9E7"/>
      <rgbColor rgb="FF0000FF"/>
      <rgbColor rgb="FFFFF3E0"/>
      <rgbColor rgb="FFFDFDF5"/>
      <rgbColor rgb="FFEBF5FB"/>
      <rgbColor rgb="FF7B3F00"/>
      <rgbColor rgb="FF196F3D"/>
      <rgbColor rgb="FF000080"/>
      <rgbColor rgb="FFF0F5F0"/>
      <rgbColor rgb="FF800080"/>
      <rgbColor rgb="FF1A5276"/>
      <rgbColor rgb="FFCCCCCC"/>
      <rgbColor rgb="FFF5EEF8"/>
      <rgbColor rgb="FFEBEBEB"/>
      <rgbColor rgb="FFB71C1C"/>
      <rgbColor rgb="FFFFF9C4"/>
      <rgbColor rgb="FFE0F4FF"/>
      <rgbColor rgb="FF4A235A"/>
      <rgbColor rgb="FFFBE9E7"/>
      <rgbColor rgb="FF1F618D"/>
      <rgbColor rgb="FFBBDEFB"/>
      <rgbColor rgb="FF000080"/>
      <rgbColor rgb="FFFF00FF"/>
      <rgbColor rgb="FFFFF0E0"/>
      <rgbColor rgb="FFEEF7F0"/>
      <rgbColor rgb="FF800080"/>
      <rgbColor rgb="FF800000"/>
      <rgbColor rgb="FF1B5E20"/>
      <rgbColor rgb="FF0000FF"/>
      <rgbColor rgb="FFF5F5F5"/>
      <rgbColor rgb="FFEAFAF1"/>
      <rgbColor rgb="FFC8E6C9"/>
      <rgbColor rgb="FFFFF176"/>
      <rgbColor rgb="FFA5D6A7"/>
      <rgbColor rgb="FFEF9A9A"/>
      <rgbColor rgb="FFFFCDD2"/>
      <rgbColor rgb="FFFFCC80"/>
      <rgbColor rgb="FF0D47A1"/>
      <rgbColor rgb="FF1DB954"/>
      <rgbColor rgb="FFE8F5E9"/>
      <rgbColor rgb="FFFFE0B2"/>
      <rgbColor rgb="FFF57F17"/>
      <rgbColor rgb="FFE65100"/>
      <rgbColor rgb="FF3D566E"/>
      <rgbColor rgb="FFA8E6BB"/>
      <rgbColor rgb="FF004D6E"/>
      <rgbColor rgb="FF2E7D32"/>
      <rgbColor rgb="FF145A32"/>
      <rgbColor rgb="FF1A4731"/>
      <rgbColor rgb="FF7B2D00"/>
      <rgbColor rgb="FF5D4037"/>
      <rgbColor rgb="FF2C3E50"/>
      <rgbColor rgb="FF2E403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198"/>
  <sheetViews>
    <sheetView tabSelected="1" zoomScaleNormal="100" workbookViewId="0">
      <pane xSplit="1" ySplit="2" topLeftCell="BI12" activePane="bottomRight" state="frozen"/>
      <selection pane="topRight" activeCell="B1" sqref="B1"/>
      <selection pane="bottomLeft" activeCell="A3" sqref="A3"/>
      <selection pane="bottomRight" activeCell="BM39" sqref="BM39"/>
    </sheetView>
  </sheetViews>
  <sheetFormatPr defaultColWidth="8.5703125" defaultRowHeight="15" x14ac:dyDescent="0.25"/>
  <cols>
    <col min="1" max="1" width="15.7109375" customWidth="1"/>
    <col min="87" max="90" width="12" customWidth="1"/>
    <col min="91" max="91" width="30" customWidth="1"/>
    <col min="92" max="93" width="12" customWidth="1"/>
    <col min="94" max="94" width="42" customWidth="1"/>
    <col min="95" max="95" width="28" customWidth="1"/>
    <col min="96" max="113" width="11" customWidth="1"/>
    <col min="114" max="114" width="38" customWidth="1"/>
    <col min="115" max="115" width="16" customWidth="1"/>
    <col min="116" max="116" width="12" customWidth="1"/>
    <col min="117" max="117" width="38" customWidth="1"/>
    <col min="118" max="129" width="6" customWidth="1"/>
    <col min="130" max="130" width="52" customWidth="1"/>
    <col min="131" max="131" width="38" customWidth="1"/>
    <col min="132" max="132" width="18" customWidth="1"/>
    <col min="133" max="133" width="30" customWidth="1"/>
    <col min="134" max="136" width="14" customWidth="1"/>
  </cols>
  <sheetData>
    <row r="1" spans="1:136" ht="15" customHeight="1" x14ac:dyDescent="0.25">
      <c r="A1" s="1" t="s">
        <v>0</v>
      </c>
      <c r="B1" s="1"/>
      <c r="C1" s="1"/>
      <c r="D1" s="2" t="s">
        <v>1</v>
      </c>
      <c r="E1" s="2"/>
      <c r="F1" s="2"/>
      <c r="G1" s="2"/>
      <c r="H1" s="2"/>
      <c r="I1" s="2"/>
      <c r="J1" s="2"/>
      <c r="K1" s="2"/>
      <c r="L1" s="2"/>
      <c r="M1" s="2"/>
      <c r="N1" s="2"/>
      <c r="O1" s="2"/>
      <c r="P1" s="2"/>
      <c r="Q1" s="2"/>
      <c r="R1" s="2"/>
      <c r="S1" s="2"/>
      <c r="T1" s="2"/>
      <c r="U1" s="2"/>
      <c r="V1" s="2"/>
      <c r="W1" s="2"/>
      <c r="X1" s="2"/>
      <c r="Y1" s="2"/>
      <c r="Z1" s="2"/>
      <c r="AA1" s="2"/>
      <c r="AB1" s="3" t="s">
        <v>2</v>
      </c>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64" t="s">
        <v>3</v>
      </c>
      <c r="CJ1" s="64"/>
      <c r="CK1" s="64"/>
      <c r="CL1" s="64"/>
      <c r="CM1" s="64"/>
      <c r="CN1" s="65" t="s">
        <v>4</v>
      </c>
      <c r="CO1" s="65"/>
      <c r="CP1" s="65"/>
      <c r="CQ1" s="65"/>
      <c r="CR1" s="66" t="s">
        <v>5</v>
      </c>
      <c r="CS1" s="66"/>
      <c r="CT1" s="66"/>
      <c r="CU1" s="66"/>
      <c r="CV1" s="66"/>
      <c r="CW1" s="66"/>
      <c r="CX1" s="66"/>
      <c r="CY1" s="66"/>
      <c r="CZ1" s="66"/>
      <c r="DA1" s="67" t="s">
        <v>6</v>
      </c>
      <c r="DB1" s="67"/>
      <c r="DC1" s="67"/>
      <c r="DD1" s="67"/>
      <c r="DE1" s="67"/>
      <c r="DF1" s="67"/>
      <c r="DG1" s="67"/>
      <c r="DH1" s="67"/>
      <c r="DI1" s="67"/>
      <c r="DJ1" s="4" t="s">
        <v>7</v>
      </c>
      <c r="DK1" s="68" t="s">
        <v>8</v>
      </c>
      <c r="DL1" s="68"/>
      <c r="DM1" s="68"/>
      <c r="DN1" s="62" t="s">
        <v>9</v>
      </c>
      <c r="DO1" s="62"/>
      <c r="DP1" s="62"/>
      <c r="DQ1" s="62"/>
      <c r="DR1" s="62"/>
      <c r="DS1" s="62"/>
      <c r="DT1" s="62"/>
      <c r="DU1" s="62"/>
      <c r="DV1" s="62"/>
      <c r="DW1" s="62"/>
      <c r="DX1" s="62"/>
      <c r="DY1" s="62"/>
      <c r="DZ1" s="62"/>
      <c r="EA1" s="62"/>
      <c r="EB1" s="63" t="s">
        <v>10</v>
      </c>
      <c r="EC1" s="63"/>
      <c r="ED1" s="63"/>
      <c r="EE1" s="63"/>
      <c r="EF1" s="63"/>
    </row>
    <row r="2" spans="1:136" ht="21.75" customHeight="1" x14ac:dyDescent="0.25">
      <c r="A2" s="5" t="s">
        <v>11</v>
      </c>
      <c r="B2" s="5" t="s">
        <v>12</v>
      </c>
      <c r="C2" s="5" t="s">
        <v>13</v>
      </c>
      <c r="D2" s="6" t="s">
        <v>14</v>
      </c>
      <c r="E2" s="6" t="s">
        <v>15</v>
      </c>
      <c r="F2" s="6" t="s">
        <v>16</v>
      </c>
      <c r="G2" s="6" t="s">
        <v>17</v>
      </c>
      <c r="H2" s="6" t="s">
        <v>18</v>
      </c>
      <c r="I2" s="6" t="s">
        <v>19</v>
      </c>
      <c r="J2" s="6" t="s">
        <v>20</v>
      </c>
      <c r="K2" s="6" t="s">
        <v>21</v>
      </c>
      <c r="L2" s="6" t="s">
        <v>22</v>
      </c>
      <c r="M2" s="6" t="s">
        <v>23</v>
      </c>
      <c r="N2" s="6" t="s">
        <v>24</v>
      </c>
      <c r="O2" s="6" t="s">
        <v>25</v>
      </c>
      <c r="P2" s="6" t="s">
        <v>26</v>
      </c>
      <c r="Q2" s="6" t="s">
        <v>27</v>
      </c>
      <c r="R2" s="6" t="s">
        <v>28</v>
      </c>
      <c r="S2" s="6" t="s">
        <v>29</v>
      </c>
      <c r="T2" s="6" t="s">
        <v>30</v>
      </c>
      <c r="U2" s="6" t="s">
        <v>31</v>
      </c>
      <c r="V2" s="6" t="s">
        <v>32</v>
      </c>
      <c r="W2" s="6" t="s">
        <v>33</v>
      </c>
      <c r="X2" s="6" t="s">
        <v>34</v>
      </c>
      <c r="Y2" s="6" t="s">
        <v>35</v>
      </c>
      <c r="Z2" s="6" t="s">
        <v>36</v>
      </c>
      <c r="AA2" s="6" t="s">
        <v>37</v>
      </c>
      <c r="AB2" s="7" t="s">
        <v>38</v>
      </c>
      <c r="AC2" s="7" t="s">
        <v>39</v>
      </c>
      <c r="AD2" s="7" t="s">
        <v>40</v>
      </c>
      <c r="AE2" s="7" t="s">
        <v>41</v>
      </c>
      <c r="AF2" s="7" t="s">
        <v>42</v>
      </c>
      <c r="AG2" s="7" t="s">
        <v>43</v>
      </c>
      <c r="AH2" s="7" t="s">
        <v>44</v>
      </c>
      <c r="AI2" s="7" t="s">
        <v>45</v>
      </c>
      <c r="AJ2" s="7" t="s">
        <v>46</v>
      </c>
      <c r="AK2" s="7" t="s">
        <v>47</v>
      </c>
      <c r="AL2" s="7" t="s">
        <v>48</v>
      </c>
      <c r="AM2" s="7" t="s">
        <v>49</v>
      </c>
      <c r="AN2" s="7" t="s">
        <v>50</v>
      </c>
      <c r="AO2" s="7" t="s">
        <v>51</v>
      </c>
      <c r="AP2" s="7" t="s">
        <v>52</v>
      </c>
      <c r="AQ2" s="7" t="s">
        <v>53</v>
      </c>
      <c r="AR2" s="7" t="s">
        <v>54</v>
      </c>
      <c r="AS2" s="7" t="s">
        <v>55</v>
      </c>
      <c r="AT2" s="7" t="s">
        <v>56</v>
      </c>
      <c r="AU2" s="7" t="s">
        <v>57</v>
      </c>
      <c r="AV2" s="7" t="s">
        <v>58</v>
      </c>
      <c r="AW2" s="7" t="s">
        <v>59</v>
      </c>
      <c r="AX2" s="7" t="s">
        <v>60</v>
      </c>
      <c r="AY2" s="7" t="s">
        <v>61</v>
      </c>
      <c r="AZ2" s="7" t="s">
        <v>62</v>
      </c>
      <c r="BA2" s="7" t="s">
        <v>63</v>
      </c>
      <c r="BB2" s="7" t="s">
        <v>64</v>
      </c>
      <c r="BC2" s="7" t="s">
        <v>65</v>
      </c>
      <c r="BD2" s="7" t="s">
        <v>66</v>
      </c>
      <c r="BE2" s="7" t="s">
        <v>67</v>
      </c>
      <c r="BF2" s="7" t="s">
        <v>68</v>
      </c>
      <c r="BG2" s="7" t="s">
        <v>69</v>
      </c>
      <c r="BH2" s="7" t="s">
        <v>70</v>
      </c>
      <c r="BI2" s="7" t="s">
        <v>71</v>
      </c>
      <c r="BJ2" s="7" t="s">
        <v>72</v>
      </c>
      <c r="BK2" s="7" t="s">
        <v>73</v>
      </c>
      <c r="BL2" s="7" t="s">
        <v>74</v>
      </c>
      <c r="BM2" s="7" t="s">
        <v>75</v>
      </c>
      <c r="BN2" s="7" t="s">
        <v>76</v>
      </c>
      <c r="BO2" s="7" t="s">
        <v>77</v>
      </c>
      <c r="BP2" s="7" t="s">
        <v>78</v>
      </c>
      <c r="BQ2" s="7" t="s">
        <v>79</v>
      </c>
      <c r="BR2" s="7" t="s">
        <v>80</v>
      </c>
      <c r="BS2" s="7" t="s">
        <v>81</v>
      </c>
      <c r="BT2" s="7" t="s">
        <v>82</v>
      </c>
      <c r="BU2" s="7" t="s">
        <v>83</v>
      </c>
      <c r="BV2" s="7" t="s">
        <v>84</v>
      </c>
      <c r="BW2" s="7" t="s">
        <v>85</v>
      </c>
      <c r="BX2" s="7" t="s">
        <v>86</v>
      </c>
      <c r="BY2" s="7" t="s">
        <v>87</v>
      </c>
      <c r="BZ2" s="7" t="s">
        <v>88</v>
      </c>
      <c r="CA2" s="7" t="s">
        <v>89</v>
      </c>
      <c r="CB2" s="7" t="s">
        <v>90</v>
      </c>
      <c r="CC2" s="7" t="s">
        <v>91</v>
      </c>
      <c r="CD2" s="7" t="s">
        <v>92</v>
      </c>
      <c r="CE2" s="7" t="s">
        <v>93</v>
      </c>
      <c r="CF2" s="7" t="s">
        <v>94</v>
      </c>
      <c r="CG2" s="7" t="s">
        <v>95</v>
      </c>
      <c r="CH2" s="7" t="s">
        <v>96</v>
      </c>
      <c r="CI2" s="8" t="s">
        <v>97</v>
      </c>
      <c r="CJ2" s="8" t="s">
        <v>98</v>
      </c>
      <c r="CK2" s="8" t="s">
        <v>99</v>
      </c>
      <c r="CL2" s="8" t="s">
        <v>100</v>
      </c>
      <c r="CM2" s="8" t="s">
        <v>101</v>
      </c>
      <c r="CN2" s="9" t="s">
        <v>102</v>
      </c>
      <c r="CO2" s="9" t="s">
        <v>103</v>
      </c>
      <c r="CP2" s="9" t="s">
        <v>104</v>
      </c>
      <c r="CQ2" s="9" t="s">
        <v>105</v>
      </c>
      <c r="CR2" s="10" t="s">
        <v>106</v>
      </c>
      <c r="CS2" s="10" t="s">
        <v>107</v>
      </c>
      <c r="CT2" s="10" t="s">
        <v>108</v>
      </c>
      <c r="CU2" s="10" t="s">
        <v>109</v>
      </c>
      <c r="CV2" s="10" t="s">
        <v>110</v>
      </c>
      <c r="CW2" s="10" t="s">
        <v>111</v>
      </c>
      <c r="CX2" s="10" t="s">
        <v>112</v>
      </c>
      <c r="CY2" s="10" t="s">
        <v>113</v>
      </c>
      <c r="CZ2" s="10" t="s">
        <v>114</v>
      </c>
      <c r="DA2" s="11" t="s">
        <v>115</v>
      </c>
      <c r="DB2" s="11" t="s">
        <v>116</v>
      </c>
      <c r="DC2" s="11" t="s">
        <v>117</v>
      </c>
      <c r="DD2" s="11" t="s">
        <v>118</v>
      </c>
      <c r="DE2" s="11" t="s">
        <v>119</v>
      </c>
      <c r="DF2" s="11" t="s">
        <v>120</v>
      </c>
      <c r="DG2" s="11" t="s">
        <v>121</v>
      </c>
      <c r="DH2" s="11" t="s">
        <v>122</v>
      </c>
      <c r="DI2" s="11" t="s">
        <v>123</v>
      </c>
      <c r="DJ2" s="12" t="s">
        <v>124</v>
      </c>
      <c r="DK2" s="13" t="s">
        <v>125</v>
      </c>
      <c r="DL2" s="13" t="s">
        <v>126</v>
      </c>
      <c r="DM2" s="13" t="s">
        <v>127</v>
      </c>
      <c r="DN2" s="14" t="s">
        <v>128</v>
      </c>
      <c r="DO2" s="14" t="s">
        <v>129</v>
      </c>
      <c r="DP2" s="14" t="s">
        <v>130</v>
      </c>
      <c r="DQ2" s="14" t="s">
        <v>131</v>
      </c>
      <c r="DR2" s="14" t="s">
        <v>132</v>
      </c>
      <c r="DS2" s="14" t="s">
        <v>133</v>
      </c>
      <c r="DT2" s="14" t="s">
        <v>134</v>
      </c>
      <c r="DU2" s="14" t="s">
        <v>135</v>
      </c>
      <c r="DV2" s="14" t="s">
        <v>136</v>
      </c>
      <c r="DW2" s="14" t="s">
        <v>137</v>
      </c>
      <c r="DX2" s="14" t="s">
        <v>138</v>
      </c>
      <c r="DY2" s="14" t="s">
        <v>139</v>
      </c>
      <c r="DZ2" s="14" t="s">
        <v>140</v>
      </c>
      <c r="EA2" s="14" t="s">
        <v>141</v>
      </c>
      <c r="EB2" s="15" t="s">
        <v>142</v>
      </c>
      <c r="EC2" s="15" t="s">
        <v>143</v>
      </c>
      <c r="ED2" s="15" t="s">
        <v>144</v>
      </c>
      <c r="EE2" s="15" t="s">
        <v>145</v>
      </c>
      <c r="EF2" s="15" t="s">
        <v>146</v>
      </c>
    </row>
    <row r="3" spans="1:136" ht="15" customHeight="1" x14ac:dyDescent="0.25">
      <c r="A3" s="16" t="s">
        <v>1985</v>
      </c>
      <c r="B3" s="29" t="s">
        <v>1969</v>
      </c>
      <c r="C3" s="29" t="s">
        <v>1986</v>
      </c>
      <c r="D3" s="30">
        <v>689.8</v>
      </c>
      <c r="E3" s="30">
        <v>14.4</v>
      </c>
      <c r="F3" s="30">
        <v>68.5</v>
      </c>
      <c r="G3" s="30">
        <v>2.4</v>
      </c>
      <c r="H3" s="30">
        <v>8.5</v>
      </c>
      <c r="I3" s="30">
        <v>150</v>
      </c>
      <c r="J3" s="30">
        <v>2.2000000000000002</v>
      </c>
      <c r="K3" s="30">
        <v>350</v>
      </c>
      <c r="L3" s="30">
        <v>660</v>
      </c>
      <c r="M3" s="30">
        <v>560</v>
      </c>
      <c r="N3" s="30">
        <v>2</v>
      </c>
      <c r="O3" s="30">
        <v>4.0999999999999996</v>
      </c>
      <c r="P3" s="30">
        <v>2</v>
      </c>
      <c r="Q3" s="30">
        <v>0.84</v>
      </c>
      <c r="R3" s="30">
        <v>1917</v>
      </c>
      <c r="S3" s="30">
        <v>2</v>
      </c>
      <c r="T3" s="30">
        <v>5.3</v>
      </c>
      <c r="U3" s="30">
        <v>0</v>
      </c>
      <c r="V3" s="30">
        <v>0.6</v>
      </c>
      <c r="W3" s="30">
        <v>0.43</v>
      </c>
      <c r="X3" s="30">
        <v>0.6</v>
      </c>
      <c r="Y3" s="30">
        <v>0.27</v>
      </c>
      <c r="Z3" s="30">
        <v>0</v>
      </c>
      <c r="AA3" s="30">
        <v>22</v>
      </c>
      <c r="AB3" s="31">
        <v>3699</v>
      </c>
      <c r="AC3" s="31" t="s">
        <v>1987</v>
      </c>
      <c r="AD3" s="31" t="s">
        <v>1988</v>
      </c>
      <c r="AE3" s="31" t="s">
        <v>1989</v>
      </c>
      <c r="AF3" s="31" t="s">
        <v>1990</v>
      </c>
      <c r="AG3" s="31" t="s">
        <v>1991</v>
      </c>
      <c r="AH3" s="31" t="s">
        <v>1992</v>
      </c>
      <c r="AI3" s="31" t="s">
        <v>226</v>
      </c>
      <c r="AJ3" s="31" t="s">
        <v>337</v>
      </c>
      <c r="AK3" s="31" t="s">
        <v>157</v>
      </c>
      <c r="AL3" s="31" t="s">
        <v>314</v>
      </c>
      <c r="AM3" s="31"/>
      <c r="AN3" s="31" t="s">
        <v>1993</v>
      </c>
      <c r="AO3" s="31" t="s">
        <v>451</v>
      </c>
      <c r="AP3" s="31" t="s">
        <v>340</v>
      </c>
      <c r="AQ3" s="31" t="s">
        <v>362</v>
      </c>
      <c r="AR3" s="31">
        <v>20</v>
      </c>
      <c r="AS3" s="31">
        <v>36</v>
      </c>
      <c r="AT3" s="31">
        <v>12</v>
      </c>
      <c r="AU3" s="31">
        <v>40</v>
      </c>
      <c r="AV3" s="31">
        <v>2400</v>
      </c>
      <c r="AW3" s="31">
        <v>2800</v>
      </c>
      <c r="AX3" s="31">
        <v>1400</v>
      </c>
      <c r="AY3" s="31">
        <v>3500</v>
      </c>
      <c r="AZ3" s="31">
        <v>5.5</v>
      </c>
      <c r="BA3" s="31">
        <v>7</v>
      </c>
      <c r="BB3" s="31">
        <v>4.5</v>
      </c>
      <c r="BC3" s="31">
        <v>8</v>
      </c>
      <c r="BD3" s="31"/>
      <c r="BE3" s="31"/>
      <c r="BF3" s="31">
        <v>10</v>
      </c>
      <c r="BG3" s="31">
        <v>10</v>
      </c>
      <c r="BH3" s="31">
        <v>200</v>
      </c>
      <c r="BI3" s="31" t="s">
        <v>164</v>
      </c>
      <c r="BJ3" s="31" t="s">
        <v>165</v>
      </c>
      <c r="BK3" s="31" t="s">
        <v>164</v>
      </c>
      <c r="BL3" s="31" t="s">
        <v>317</v>
      </c>
      <c r="BM3" s="31" t="s">
        <v>288</v>
      </c>
      <c r="BN3" s="31" t="s">
        <v>166</v>
      </c>
      <c r="BO3" s="31" t="s">
        <v>168</v>
      </c>
      <c r="BP3" s="31" t="s">
        <v>168</v>
      </c>
      <c r="BQ3" s="31" t="s">
        <v>169</v>
      </c>
      <c r="BR3" s="31" t="s">
        <v>170</v>
      </c>
      <c r="BS3" s="31"/>
      <c r="BT3" s="31"/>
      <c r="BU3" s="31" t="s">
        <v>171</v>
      </c>
      <c r="BV3" s="31" t="s">
        <v>171</v>
      </c>
      <c r="BW3" s="31" t="s">
        <v>172</v>
      </c>
      <c r="BX3" s="31" t="s">
        <v>172</v>
      </c>
      <c r="BY3" s="31"/>
      <c r="BZ3" s="31"/>
      <c r="CA3" s="31" t="s">
        <v>173</v>
      </c>
      <c r="CB3" s="31" t="s">
        <v>342</v>
      </c>
      <c r="CC3" s="31"/>
      <c r="CD3" s="31"/>
      <c r="CE3" s="31"/>
      <c r="CF3" s="31" t="s">
        <v>777</v>
      </c>
      <c r="CG3" s="31">
        <v>365</v>
      </c>
      <c r="CH3" s="31">
        <v>365</v>
      </c>
      <c r="CI3" s="19">
        <v>30</v>
      </c>
      <c r="CJ3" s="19">
        <v>50</v>
      </c>
      <c r="CK3" s="19">
        <v>15</v>
      </c>
      <c r="CL3" s="19">
        <v>30</v>
      </c>
      <c r="CM3" s="17" t="s">
        <v>1994</v>
      </c>
      <c r="CN3" s="20">
        <v>0.1</v>
      </c>
      <c r="CO3" s="20">
        <v>0.5</v>
      </c>
      <c r="CP3" s="17" t="s">
        <v>1995</v>
      </c>
      <c r="CQ3" s="17" t="s">
        <v>899</v>
      </c>
      <c r="CR3" s="21">
        <v>0</v>
      </c>
      <c r="CS3" s="21">
        <v>0</v>
      </c>
      <c r="CT3" s="21">
        <v>3</v>
      </c>
      <c r="CU3" s="21">
        <v>2</v>
      </c>
      <c r="CV3" s="21">
        <v>2</v>
      </c>
      <c r="CW3" s="21">
        <v>0</v>
      </c>
      <c r="CX3" s="21">
        <v>0</v>
      </c>
      <c r="CY3" s="21">
        <v>20</v>
      </c>
      <c r="CZ3" s="21">
        <v>15</v>
      </c>
      <c r="DA3" s="21">
        <v>0</v>
      </c>
      <c r="DB3" s="21">
        <v>0</v>
      </c>
      <c r="DC3" s="21">
        <v>20</v>
      </c>
      <c r="DD3" s="21">
        <v>10</v>
      </c>
      <c r="DE3" s="21">
        <v>10</v>
      </c>
      <c r="DF3" s="21">
        <v>0</v>
      </c>
      <c r="DG3" s="21">
        <v>0</v>
      </c>
      <c r="DH3" s="21">
        <v>400</v>
      </c>
      <c r="DI3" s="21">
        <v>250</v>
      </c>
      <c r="DJ3" s="17" t="s">
        <v>1996</v>
      </c>
      <c r="DK3" s="17" t="s">
        <v>1979</v>
      </c>
      <c r="DL3" s="22">
        <v>30</v>
      </c>
      <c r="DM3" s="17" t="s">
        <v>1997</v>
      </c>
      <c r="DN3" s="25" t="s">
        <v>183</v>
      </c>
      <c r="DO3" s="25" t="s">
        <v>183</v>
      </c>
      <c r="DP3" s="24" t="s">
        <v>182</v>
      </c>
      <c r="DQ3" s="23"/>
      <c r="DR3" s="23"/>
      <c r="DS3" s="23"/>
      <c r="DT3" s="23"/>
      <c r="DU3" s="23"/>
      <c r="DV3" s="23"/>
      <c r="DW3" s="23"/>
      <c r="DX3" s="24" t="s">
        <v>182</v>
      </c>
      <c r="DY3" s="25" t="s">
        <v>183</v>
      </c>
      <c r="DZ3" s="17" t="s">
        <v>1998</v>
      </c>
      <c r="EA3" s="17" t="s">
        <v>1999</v>
      </c>
      <c r="EB3" s="26" t="s">
        <v>186</v>
      </c>
      <c r="EC3" s="17" t="s">
        <v>2000</v>
      </c>
      <c r="ED3" s="27" t="s">
        <v>241</v>
      </c>
      <c r="EE3" s="22">
        <v>2</v>
      </c>
      <c r="EF3" s="49" t="s">
        <v>352</v>
      </c>
    </row>
    <row r="4" spans="1:136" ht="15" customHeight="1" x14ac:dyDescent="0.25">
      <c r="A4" s="16" t="s">
        <v>2354</v>
      </c>
      <c r="B4" s="17" t="s">
        <v>2325</v>
      </c>
      <c r="C4" s="17" t="s">
        <v>2355</v>
      </c>
      <c r="D4" s="18">
        <v>328.2</v>
      </c>
      <c r="E4" s="18">
        <v>19.7</v>
      </c>
      <c r="F4" s="18">
        <v>5.5</v>
      </c>
      <c r="G4" s="18">
        <v>38.5</v>
      </c>
      <c r="H4" s="18">
        <v>20.8</v>
      </c>
      <c r="I4" s="18">
        <v>159</v>
      </c>
      <c r="J4" s="18">
        <v>4.5999999999999996</v>
      </c>
      <c r="K4" s="18">
        <v>134</v>
      </c>
      <c r="L4" s="18">
        <v>296</v>
      </c>
      <c r="M4" s="18">
        <v>396</v>
      </c>
      <c r="N4" s="18">
        <v>11</v>
      </c>
      <c r="O4" s="18">
        <v>3.1</v>
      </c>
      <c r="P4" s="18">
        <v>0.877</v>
      </c>
      <c r="Q4" s="18">
        <v>2.1509999999999998</v>
      </c>
      <c r="R4" s="18">
        <v>68</v>
      </c>
      <c r="S4" s="18">
        <v>11</v>
      </c>
      <c r="T4" s="18">
        <v>1.73</v>
      </c>
      <c r="U4" s="18">
        <v>3</v>
      </c>
      <c r="V4" s="18">
        <v>0.56999999999999995</v>
      </c>
      <c r="W4" s="18">
        <v>0.02</v>
      </c>
      <c r="X4" s="18">
        <v>1.3</v>
      </c>
      <c r="Y4" s="18">
        <v>2.6</v>
      </c>
      <c r="Z4" s="18">
        <v>0</v>
      </c>
      <c r="AA4" s="18">
        <v>178</v>
      </c>
      <c r="AB4" s="18">
        <v>2479</v>
      </c>
      <c r="AC4" s="18" t="s">
        <v>2356</v>
      </c>
      <c r="AD4" s="18" t="s">
        <v>221</v>
      </c>
      <c r="AE4" s="18" t="s">
        <v>2062</v>
      </c>
      <c r="AF4" s="18"/>
      <c r="AG4" s="18" t="s">
        <v>2357</v>
      </c>
      <c r="AH4" s="18" t="s">
        <v>2358</v>
      </c>
      <c r="AI4" s="18" t="s">
        <v>155</v>
      </c>
      <c r="AJ4" s="18" t="s">
        <v>156</v>
      </c>
      <c r="AK4" s="18" t="s">
        <v>157</v>
      </c>
      <c r="AL4" s="18" t="s">
        <v>282</v>
      </c>
      <c r="AM4" s="18" t="s">
        <v>159</v>
      </c>
      <c r="AN4" s="18"/>
      <c r="AO4" s="18" t="s">
        <v>2066</v>
      </c>
      <c r="AP4" s="18" t="s">
        <v>2066</v>
      </c>
      <c r="AQ4" s="18" t="s">
        <v>287</v>
      </c>
      <c r="AR4" s="18">
        <v>15</v>
      </c>
      <c r="AS4" s="18">
        <v>29</v>
      </c>
      <c r="AT4" s="18">
        <v>7</v>
      </c>
      <c r="AU4" s="18">
        <v>35</v>
      </c>
      <c r="AV4" s="18">
        <v>600</v>
      </c>
      <c r="AW4" s="18">
        <v>1000</v>
      </c>
      <c r="AX4" s="18">
        <v>300</v>
      </c>
      <c r="AY4" s="18">
        <v>1800</v>
      </c>
      <c r="AZ4" s="18">
        <v>6</v>
      </c>
      <c r="BA4" s="18">
        <v>8.5</v>
      </c>
      <c r="BB4" s="18">
        <v>4.7</v>
      </c>
      <c r="BC4" s="18">
        <v>9.5</v>
      </c>
      <c r="BD4" s="18"/>
      <c r="BE4" s="18"/>
      <c r="BF4" s="18">
        <v>30</v>
      </c>
      <c r="BG4" s="18">
        <v>50</v>
      </c>
      <c r="BH4" s="18">
        <v>2300</v>
      </c>
      <c r="BI4" s="18" t="s">
        <v>163</v>
      </c>
      <c r="BJ4" s="18" t="s">
        <v>163</v>
      </c>
      <c r="BK4" s="18" t="s">
        <v>163</v>
      </c>
      <c r="BL4" s="18" t="s">
        <v>164</v>
      </c>
      <c r="BM4" s="18" t="s">
        <v>166</v>
      </c>
      <c r="BN4" s="18" t="s">
        <v>201</v>
      </c>
      <c r="BO4" s="18" t="s">
        <v>168</v>
      </c>
      <c r="BP4" s="18" t="s">
        <v>203</v>
      </c>
      <c r="BQ4" s="18" t="s">
        <v>170</v>
      </c>
      <c r="BR4" s="18" t="s">
        <v>230</v>
      </c>
      <c r="BS4" s="18"/>
      <c r="BT4" s="18"/>
      <c r="BU4" s="18" t="s">
        <v>171</v>
      </c>
      <c r="BV4" s="18" t="s">
        <v>231</v>
      </c>
      <c r="BW4" s="18" t="s">
        <v>172</v>
      </c>
      <c r="BX4" s="18" t="s">
        <v>290</v>
      </c>
      <c r="BY4" s="18">
        <v>-9</v>
      </c>
      <c r="BZ4" s="18">
        <v>0</v>
      </c>
      <c r="CA4" s="18" t="s">
        <v>508</v>
      </c>
      <c r="CB4" s="18" t="s">
        <v>790</v>
      </c>
      <c r="CC4" s="18"/>
      <c r="CD4" s="18"/>
      <c r="CE4" s="18"/>
      <c r="CF4" s="18"/>
      <c r="CG4" s="18">
        <v>90</v>
      </c>
      <c r="CH4" s="18">
        <v>180</v>
      </c>
      <c r="CI4" s="19">
        <v>0.2</v>
      </c>
      <c r="CJ4" s="19">
        <v>0.8</v>
      </c>
      <c r="CK4" s="19">
        <v>0.2</v>
      </c>
      <c r="CL4" s="19">
        <v>0.5</v>
      </c>
      <c r="CM4" s="17" t="s">
        <v>1709</v>
      </c>
      <c r="CN4" s="20">
        <v>0.5</v>
      </c>
      <c r="CO4" s="20">
        <v>4</v>
      </c>
      <c r="CP4" s="17" t="s">
        <v>2359</v>
      </c>
      <c r="CQ4" s="17" t="s">
        <v>209</v>
      </c>
      <c r="CR4" s="21">
        <v>3</v>
      </c>
      <c r="CS4" s="21">
        <v>2</v>
      </c>
      <c r="CT4" s="21">
        <v>4</v>
      </c>
      <c r="CU4" s="21">
        <v>1</v>
      </c>
      <c r="CV4" s="21">
        <v>2</v>
      </c>
      <c r="CW4" s="21">
        <v>0</v>
      </c>
      <c r="CX4" s="21">
        <v>2</v>
      </c>
      <c r="CY4" s="21">
        <v>4</v>
      </c>
      <c r="CZ4" s="21">
        <v>3</v>
      </c>
      <c r="DA4" s="21">
        <v>120</v>
      </c>
      <c r="DB4" s="21">
        <v>50</v>
      </c>
      <c r="DC4" s="21">
        <v>150</v>
      </c>
      <c r="DD4" s="21">
        <v>15</v>
      </c>
      <c r="DE4" s="21">
        <v>20</v>
      </c>
      <c r="DF4" s="21">
        <v>0</v>
      </c>
      <c r="DG4" s="21">
        <v>20</v>
      </c>
      <c r="DH4" s="21">
        <v>250</v>
      </c>
      <c r="DI4" s="21">
        <v>60</v>
      </c>
      <c r="DJ4" s="17" t="s">
        <v>2360</v>
      </c>
      <c r="DK4" s="17" t="s">
        <v>1979</v>
      </c>
      <c r="DL4" s="22">
        <v>150</v>
      </c>
      <c r="DM4" s="17" t="s">
        <v>2361</v>
      </c>
      <c r="DN4" s="23"/>
      <c r="DO4" s="23"/>
      <c r="DP4" s="23"/>
      <c r="DQ4" s="23"/>
      <c r="DR4" s="23"/>
      <c r="DS4" s="23"/>
      <c r="DT4" s="23"/>
      <c r="DU4" s="23"/>
      <c r="DV4" s="24" t="s">
        <v>182</v>
      </c>
      <c r="DW4" s="25" t="s">
        <v>183</v>
      </c>
      <c r="DX4" s="25" t="s">
        <v>183</v>
      </c>
      <c r="DY4" s="24" t="s">
        <v>182</v>
      </c>
      <c r="DZ4" s="17" t="s">
        <v>2362</v>
      </c>
      <c r="EA4" s="17" t="s">
        <v>2363</v>
      </c>
      <c r="EB4" s="48" t="s">
        <v>239</v>
      </c>
      <c r="EC4" s="17" t="s">
        <v>2364</v>
      </c>
      <c r="ED4" s="27" t="s">
        <v>1518</v>
      </c>
      <c r="EE4" s="22">
        <v>1</v>
      </c>
      <c r="EF4" s="9" t="s">
        <v>1519</v>
      </c>
    </row>
    <row r="5" spans="1:136" ht="15" customHeight="1" x14ac:dyDescent="0.25">
      <c r="A5" s="16" t="s">
        <v>2365</v>
      </c>
      <c r="B5" s="17" t="s">
        <v>2325</v>
      </c>
      <c r="C5" s="17" t="s">
        <v>2366</v>
      </c>
      <c r="D5" s="18">
        <v>586</v>
      </c>
      <c r="E5" s="18">
        <v>29.8</v>
      </c>
      <c r="F5" s="18">
        <v>50.6</v>
      </c>
      <c r="G5" s="18">
        <v>2.5</v>
      </c>
      <c r="H5" s="18">
        <v>4.2</v>
      </c>
      <c r="I5" s="18">
        <v>90</v>
      </c>
      <c r="J5" s="18">
        <v>12.5</v>
      </c>
      <c r="K5" s="18">
        <v>650</v>
      </c>
      <c r="L5" s="18">
        <v>1520</v>
      </c>
      <c r="M5" s="18">
        <v>1060</v>
      </c>
      <c r="N5" s="18">
        <v>0</v>
      </c>
      <c r="O5" s="18">
        <v>9.4</v>
      </c>
      <c r="P5" s="18">
        <v>1.51</v>
      </c>
      <c r="Q5" s="18">
        <v>8.1999999999999993</v>
      </c>
      <c r="R5" s="18">
        <v>36</v>
      </c>
      <c r="S5" s="18">
        <v>2</v>
      </c>
      <c r="T5" s="18">
        <v>1.26</v>
      </c>
      <c r="U5" s="18">
        <v>0</v>
      </c>
      <c r="V5" s="18">
        <v>1.6</v>
      </c>
      <c r="W5" s="18">
        <v>0.23</v>
      </c>
      <c r="X5" s="18">
        <v>3.6</v>
      </c>
      <c r="Y5" s="18">
        <v>0.56999999999999995</v>
      </c>
      <c r="Z5" s="18">
        <v>0</v>
      </c>
      <c r="AA5" s="18">
        <v>150</v>
      </c>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32">
        <v>1</v>
      </c>
      <c r="CJ5" s="32">
        <v>5</v>
      </c>
      <c r="CK5" s="32">
        <v>0.3</v>
      </c>
      <c r="CL5" s="32">
        <v>0.8</v>
      </c>
      <c r="CM5" s="33" t="s">
        <v>2367</v>
      </c>
      <c r="CN5" s="34">
        <v>0.5</v>
      </c>
      <c r="CO5" s="34">
        <v>2</v>
      </c>
      <c r="CP5" s="35" t="s">
        <v>2368</v>
      </c>
      <c r="CQ5" s="35" t="s">
        <v>2369</v>
      </c>
      <c r="CR5" s="36">
        <v>3</v>
      </c>
      <c r="CS5" s="36">
        <v>1</v>
      </c>
      <c r="CT5" s="36">
        <v>3</v>
      </c>
      <c r="CU5" s="36">
        <v>1</v>
      </c>
      <c r="CV5" s="36">
        <v>1</v>
      </c>
      <c r="CW5" s="36">
        <v>0</v>
      </c>
      <c r="CX5" s="36">
        <v>1</v>
      </c>
      <c r="CY5" s="36">
        <v>4</v>
      </c>
      <c r="CZ5" s="36">
        <v>5</v>
      </c>
      <c r="DA5" s="37">
        <v>110</v>
      </c>
      <c r="DB5" s="37">
        <v>45</v>
      </c>
      <c r="DC5" s="37">
        <v>100</v>
      </c>
      <c r="DD5" s="37">
        <v>15</v>
      </c>
      <c r="DE5" s="37">
        <v>10</v>
      </c>
      <c r="DF5" s="37">
        <v>0</v>
      </c>
      <c r="DG5" s="37">
        <v>10</v>
      </c>
      <c r="DH5" s="37">
        <v>180</v>
      </c>
      <c r="DI5" s="37">
        <v>100</v>
      </c>
      <c r="DJ5" s="38" t="s">
        <v>724</v>
      </c>
      <c r="DK5" s="39" t="s">
        <v>1979</v>
      </c>
      <c r="DL5" s="40">
        <v>30</v>
      </c>
      <c r="DM5" s="39" t="s">
        <v>2370</v>
      </c>
      <c r="DN5" s="41"/>
      <c r="DO5" s="24" t="s">
        <v>182</v>
      </c>
      <c r="DP5" s="25" t="s">
        <v>183</v>
      </c>
      <c r="DQ5" s="25" t="s">
        <v>183</v>
      </c>
      <c r="DR5" s="24" t="s">
        <v>182</v>
      </c>
      <c r="DS5" s="41"/>
      <c r="DT5" s="41"/>
      <c r="DU5" s="41"/>
      <c r="DV5" s="41"/>
      <c r="DW5" s="41"/>
      <c r="DX5" s="41"/>
      <c r="DY5" s="41"/>
      <c r="DZ5" s="42" t="s">
        <v>2371</v>
      </c>
      <c r="EA5" s="42" t="s">
        <v>2372</v>
      </c>
      <c r="EB5" s="26" t="s">
        <v>186</v>
      </c>
      <c r="EC5" s="44" t="s">
        <v>2373</v>
      </c>
      <c r="ED5" s="45" t="s">
        <v>241</v>
      </c>
      <c r="EE5" s="46">
        <v>1</v>
      </c>
      <c r="EF5" s="50" t="s">
        <v>2058</v>
      </c>
    </row>
    <row r="6" spans="1:136" ht="15" customHeight="1" x14ac:dyDescent="0.25">
      <c r="A6" s="16" t="s">
        <v>2001</v>
      </c>
      <c r="B6" s="17" t="s">
        <v>1969</v>
      </c>
      <c r="C6" s="17" t="s">
        <v>2002</v>
      </c>
      <c r="D6" s="18">
        <v>607.1</v>
      </c>
      <c r="E6" s="18">
        <v>17</v>
      </c>
      <c r="F6" s="18">
        <v>49.2</v>
      </c>
      <c r="G6" s="18">
        <v>22.9</v>
      </c>
      <c r="H6" s="18">
        <v>5.9</v>
      </c>
      <c r="I6" s="18">
        <v>34</v>
      </c>
      <c r="J6" s="18">
        <v>5</v>
      </c>
      <c r="K6" s="18">
        <v>250</v>
      </c>
      <c r="L6" s="18">
        <v>530</v>
      </c>
      <c r="M6" s="18">
        <v>550</v>
      </c>
      <c r="N6" s="18">
        <v>11</v>
      </c>
      <c r="O6" s="18">
        <v>5.5</v>
      </c>
      <c r="P6" s="18">
        <v>1.9</v>
      </c>
      <c r="Q6" s="18">
        <v>1.4</v>
      </c>
      <c r="R6" s="18">
        <v>33</v>
      </c>
      <c r="S6" s="18">
        <v>1</v>
      </c>
      <c r="T6" s="18">
        <v>0.73</v>
      </c>
      <c r="U6" s="18">
        <v>0</v>
      </c>
      <c r="V6" s="18">
        <v>0.64</v>
      </c>
      <c r="W6" s="18">
        <v>0.19</v>
      </c>
      <c r="X6" s="18">
        <v>1.8</v>
      </c>
      <c r="Y6" s="18">
        <v>0.35</v>
      </c>
      <c r="Z6" s="18">
        <v>0</v>
      </c>
      <c r="AA6" s="18">
        <v>25</v>
      </c>
      <c r="AB6" s="18">
        <v>401</v>
      </c>
      <c r="AC6" s="18" t="s">
        <v>2003</v>
      </c>
      <c r="AD6" s="18" t="s">
        <v>221</v>
      </c>
      <c r="AE6" s="18" t="s">
        <v>1015</v>
      </c>
      <c r="AF6" s="18"/>
      <c r="AG6" s="18" t="s">
        <v>2004</v>
      </c>
      <c r="AH6" s="18" t="s">
        <v>2005</v>
      </c>
      <c r="AI6" s="18" t="s">
        <v>155</v>
      </c>
      <c r="AJ6" s="18" t="s">
        <v>621</v>
      </c>
      <c r="AK6" s="18" t="s">
        <v>157</v>
      </c>
      <c r="AL6" s="18" t="s">
        <v>314</v>
      </c>
      <c r="AM6" s="18"/>
      <c r="AN6" s="18" t="s">
        <v>2006</v>
      </c>
      <c r="AO6" s="18" t="s">
        <v>484</v>
      </c>
      <c r="AP6" s="18" t="s">
        <v>340</v>
      </c>
      <c r="AQ6" s="18" t="s">
        <v>162</v>
      </c>
      <c r="AR6" s="18">
        <v>15</v>
      </c>
      <c r="AS6" s="18">
        <v>35</v>
      </c>
      <c r="AT6" s="18">
        <v>5</v>
      </c>
      <c r="AU6" s="18">
        <v>46</v>
      </c>
      <c r="AV6" s="18">
        <v>750</v>
      </c>
      <c r="AW6" s="18">
        <v>1600</v>
      </c>
      <c r="AX6" s="18">
        <v>400</v>
      </c>
      <c r="AY6" s="18">
        <v>4000</v>
      </c>
      <c r="AZ6" s="18">
        <v>4.5</v>
      </c>
      <c r="BA6" s="18">
        <v>6.5</v>
      </c>
      <c r="BB6" s="18">
        <v>3.8</v>
      </c>
      <c r="BC6" s="18">
        <v>8.6999999999999993</v>
      </c>
      <c r="BD6" s="18"/>
      <c r="BE6" s="18"/>
      <c r="BF6" s="18">
        <v>25</v>
      </c>
      <c r="BG6" s="18">
        <v>30</v>
      </c>
      <c r="BH6" s="18">
        <v>1200</v>
      </c>
      <c r="BI6" s="18" t="s">
        <v>163</v>
      </c>
      <c r="BJ6" s="18" t="s">
        <v>163</v>
      </c>
      <c r="BK6" s="18" t="s">
        <v>163</v>
      </c>
      <c r="BL6" s="18" t="s">
        <v>164</v>
      </c>
      <c r="BM6" s="18" t="s">
        <v>288</v>
      </c>
      <c r="BN6" s="18" t="s">
        <v>166</v>
      </c>
      <c r="BO6" s="18" t="s">
        <v>250</v>
      </c>
      <c r="BP6" s="18" t="s">
        <v>203</v>
      </c>
      <c r="BQ6" s="18" t="s">
        <v>170</v>
      </c>
      <c r="BR6" s="18" t="s">
        <v>230</v>
      </c>
      <c r="BS6" s="18"/>
      <c r="BT6" s="18"/>
      <c r="BU6" s="18" t="s">
        <v>171</v>
      </c>
      <c r="BV6" s="18" t="s">
        <v>171</v>
      </c>
      <c r="BW6" s="18" t="s">
        <v>172</v>
      </c>
      <c r="BX6" s="18" t="s">
        <v>290</v>
      </c>
      <c r="BY6" s="18"/>
      <c r="BZ6" s="18"/>
      <c r="CA6" s="18" t="s">
        <v>173</v>
      </c>
      <c r="CB6" s="18" t="s">
        <v>2007</v>
      </c>
      <c r="CC6" s="18"/>
      <c r="CD6" s="18"/>
      <c r="CE6" s="18"/>
      <c r="CF6" s="18"/>
      <c r="CG6" s="18">
        <v>190</v>
      </c>
      <c r="CH6" s="18">
        <v>260</v>
      </c>
      <c r="CI6" s="32">
        <v>5</v>
      </c>
      <c r="CJ6" s="32">
        <v>12</v>
      </c>
      <c r="CK6" s="32">
        <v>5</v>
      </c>
      <c r="CL6" s="32">
        <v>10</v>
      </c>
      <c r="CM6" s="33" t="s">
        <v>868</v>
      </c>
      <c r="CN6" s="34">
        <v>0.3</v>
      </c>
      <c r="CO6" s="34">
        <v>2.5</v>
      </c>
      <c r="CP6" s="35" t="s">
        <v>2008</v>
      </c>
      <c r="CQ6" s="35" t="s">
        <v>209</v>
      </c>
      <c r="CR6" s="36">
        <v>0</v>
      </c>
      <c r="CS6" s="36">
        <v>0</v>
      </c>
      <c r="CT6" s="36">
        <v>6</v>
      </c>
      <c r="CU6" s="36">
        <v>4</v>
      </c>
      <c r="CV6" s="36">
        <v>5</v>
      </c>
      <c r="CW6" s="36">
        <v>5</v>
      </c>
      <c r="CX6" s="36">
        <v>3</v>
      </c>
      <c r="CY6" s="36">
        <v>20</v>
      </c>
      <c r="CZ6" s="36">
        <v>15</v>
      </c>
      <c r="DA6" s="37">
        <v>0</v>
      </c>
      <c r="DB6" s="37">
        <v>0</v>
      </c>
      <c r="DC6" s="37">
        <v>50</v>
      </c>
      <c r="DD6" s="37">
        <v>25</v>
      </c>
      <c r="DE6" s="37">
        <v>35</v>
      </c>
      <c r="DF6" s="37">
        <v>40</v>
      </c>
      <c r="DG6" s="37">
        <v>20</v>
      </c>
      <c r="DH6" s="37">
        <v>400</v>
      </c>
      <c r="DI6" s="37">
        <v>300</v>
      </c>
      <c r="DJ6" s="38" t="s">
        <v>2009</v>
      </c>
      <c r="DK6" s="39" t="s">
        <v>1979</v>
      </c>
      <c r="DL6" s="40">
        <v>30</v>
      </c>
      <c r="DM6" s="39" t="s">
        <v>2010</v>
      </c>
      <c r="DN6" s="41"/>
      <c r="DO6" s="41"/>
      <c r="DP6" s="41"/>
      <c r="DQ6" s="41"/>
      <c r="DR6" s="41"/>
      <c r="DS6" s="41"/>
      <c r="DT6" s="41"/>
      <c r="DU6" s="41"/>
      <c r="DV6" s="24" t="s">
        <v>182</v>
      </c>
      <c r="DW6" s="25" t="s">
        <v>183</v>
      </c>
      <c r="DX6" s="25" t="s">
        <v>183</v>
      </c>
      <c r="DY6" s="24" t="s">
        <v>182</v>
      </c>
      <c r="DZ6" s="42" t="s">
        <v>2011</v>
      </c>
      <c r="EA6" s="42" t="s">
        <v>2012</v>
      </c>
      <c r="EB6" s="48" t="s">
        <v>239</v>
      </c>
      <c r="EC6" s="44" t="s">
        <v>2013</v>
      </c>
      <c r="ED6" s="45" t="s">
        <v>1595</v>
      </c>
      <c r="EE6" s="46">
        <v>8</v>
      </c>
      <c r="EF6" s="50" t="s">
        <v>2014</v>
      </c>
    </row>
    <row r="7" spans="1:136" ht="15" customHeight="1" x14ac:dyDescent="0.25">
      <c r="A7" s="16" t="s">
        <v>2479</v>
      </c>
      <c r="B7" s="29" t="s">
        <v>2325</v>
      </c>
      <c r="C7" s="29" t="s">
        <v>2480</v>
      </c>
      <c r="D7" s="30">
        <v>282.7</v>
      </c>
      <c r="E7" s="30">
        <v>20.3</v>
      </c>
      <c r="F7" s="30">
        <v>6.1</v>
      </c>
      <c r="G7" s="30">
        <v>10.5</v>
      </c>
      <c r="H7" s="30">
        <v>54.2</v>
      </c>
      <c r="I7" s="30">
        <v>419</v>
      </c>
      <c r="J7" s="30">
        <v>6</v>
      </c>
      <c r="K7" s="30">
        <v>243</v>
      </c>
      <c r="L7" s="30">
        <v>70</v>
      </c>
      <c r="M7" s="30">
        <v>974</v>
      </c>
      <c r="N7" s="30">
        <v>102</v>
      </c>
      <c r="O7" s="30">
        <v>0.4</v>
      </c>
      <c r="P7" s="30">
        <v>0</v>
      </c>
      <c r="Q7" s="30">
        <v>1.7</v>
      </c>
      <c r="R7" s="30">
        <v>31.7</v>
      </c>
      <c r="S7" s="30">
        <v>0</v>
      </c>
      <c r="T7" s="30">
        <v>4.6500000000000004</v>
      </c>
      <c r="U7" s="30">
        <v>0</v>
      </c>
      <c r="V7" s="30">
        <v>0.04</v>
      </c>
      <c r="W7" s="30">
        <v>0</v>
      </c>
      <c r="X7" s="30">
        <v>14.5</v>
      </c>
      <c r="Y7" s="30">
        <v>0.9</v>
      </c>
      <c r="Z7" s="30">
        <v>0</v>
      </c>
      <c r="AA7" s="30">
        <v>40</v>
      </c>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2">
        <v>3</v>
      </c>
      <c r="CJ7" s="32">
        <v>8</v>
      </c>
      <c r="CK7" s="32">
        <v>2</v>
      </c>
      <c r="CL7" s="32">
        <v>6</v>
      </c>
      <c r="CM7" s="33" t="s">
        <v>2481</v>
      </c>
      <c r="CN7" s="34">
        <v>0.1</v>
      </c>
      <c r="CO7" s="34">
        <v>0.5</v>
      </c>
      <c r="CP7" s="35" t="s">
        <v>2482</v>
      </c>
      <c r="CQ7" s="35" t="s">
        <v>762</v>
      </c>
      <c r="CR7" s="36">
        <v>0</v>
      </c>
      <c r="CS7" s="36">
        <v>0</v>
      </c>
      <c r="CT7" s="36">
        <v>3</v>
      </c>
      <c r="CU7" s="36">
        <v>2</v>
      </c>
      <c r="CV7" s="36">
        <v>2</v>
      </c>
      <c r="CW7" s="36">
        <v>3</v>
      </c>
      <c r="CX7" s="36">
        <v>2</v>
      </c>
      <c r="CY7" s="36">
        <v>10</v>
      </c>
      <c r="CZ7" s="36">
        <v>10</v>
      </c>
      <c r="DA7" s="37">
        <v>0</v>
      </c>
      <c r="DB7" s="37">
        <v>0</v>
      </c>
      <c r="DC7" s="37">
        <v>20</v>
      </c>
      <c r="DD7" s="37">
        <v>10</v>
      </c>
      <c r="DE7" s="37">
        <v>10</v>
      </c>
      <c r="DF7" s="37">
        <v>20</v>
      </c>
      <c r="DG7" s="37">
        <v>15</v>
      </c>
      <c r="DH7" s="37">
        <v>200</v>
      </c>
      <c r="DI7" s="37">
        <v>150</v>
      </c>
      <c r="DJ7" s="38" t="s">
        <v>2483</v>
      </c>
      <c r="DK7" s="39" t="s">
        <v>1979</v>
      </c>
      <c r="DL7" s="40">
        <v>30</v>
      </c>
      <c r="DM7" s="39" t="s">
        <v>2484</v>
      </c>
      <c r="DN7" s="24" t="s">
        <v>182</v>
      </c>
      <c r="DO7" s="41"/>
      <c r="DP7" s="41"/>
      <c r="DQ7" s="41"/>
      <c r="DR7" s="41"/>
      <c r="DS7" s="41"/>
      <c r="DT7" s="41"/>
      <c r="DU7" s="41"/>
      <c r="DV7" s="24" t="s">
        <v>182</v>
      </c>
      <c r="DW7" s="25" t="s">
        <v>183</v>
      </c>
      <c r="DX7" s="25" t="s">
        <v>183</v>
      </c>
      <c r="DY7" s="25" t="s">
        <v>183</v>
      </c>
      <c r="DZ7" s="42" t="s">
        <v>2485</v>
      </c>
      <c r="EA7" s="42" t="s">
        <v>2486</v>
      </c>
      <c r="EB7" s="48" t="s">
        <v>239</v>
      </c>
      <c r="EC7" s="44" t="s">
        <v>2351</v>
      </c>
      <c r="ED7" s="45" t="s">
        <v>1518</v>
      </c>
      <c r="EE7" s="46">
        <v>3</v>
      </c>
      <c r="EF7" s="57" t="s">
        <v>1519</v>
      </c>
    </row>
    <row r="8" spans="1:136" ht="15" customHeight="1" x14ac:dyDescent="0.25">
      <c r="A8" s="16" t="s">
        <v>1478</v>
      </c>
      <c r="B8" s="17" t="s">
        <v>1479</v>
      </c>
      <c r="C8" s="17" t="s">
        <v>1480</v>
      </c>
      <c r="D8" s="18">
        <v>365</v>
      </c>
      <c r="E8" s="18">
        <v>15.2</v>
      </c>
      <c r="F8" s="18">
        <v>6.4</v>
      </c>
      <c r="G8" s="18">
        <v>55.6</v>
      </c>
      <c r="H8" s="18">
        <v>11.1</v>
      </c>
      <c r="I8" s="18">
        <v>147</v>
      </c>
      <c r="J8" s="18">
        <v>7</v>
      </c>
      <c r="K8" s="18">
        <v>237</v>
      </c>
      <c r="L8" s="18">
        <v>405</v>
      </c>
      <c r="M8" s="18">
        <v>508</v>
      </c>
      <c r="N8" s="18">
        <v>2</v>
      </c>
      <c r="O8" s="18">
        <v>2.7</v>
      </c>
      <c r="P8" s="18"/>
      <c r="Q8" s="18"/>
      <c r="R8" s="18">
        <v>28</v>
      </c>
      <c r="S8" s="18">
        <v>0</v>
      </c>
      <c r="T8" s="18">
        <v>1</v>
      </c>
      <c r="U8" s="18">
        <v>4</v>
      </c>
      <c r="V8" s="18">
        <v>0.09</v>
      </c>
      <c r="W8" s="18">
        <v>0.04</v>
      </c>
      <c r="X8" s="18">
        <v>0</v>
      </c>
      <c r="Y8" s="18">
        <v>0.5</v>
      </c>
      <c r="Z8" s="18">
        <v>0</v>
      </c>
      <c r="AA8" s="18">
        <v>82</v>
      </c>
      <c r="AB8" s="18">
        <v>2187</v>
      </c>
      <c r="AC8" s="18" t="s">
        <v>1481</v>
      </c>
      <c r="AD8" s="18" t="s">
        <v>221</v>
      </c>
      <c r="AE8" s="18" t="s">
        <v>1482</v>
      </c>
      <c r="AF8" s="18" t="s">
        <v>1483</v>
      </c>
      <c r="AG8" s="18" t="s">
        <v>1484</v>
      </c>
      <c r="AH8" s="18" t="s">
        <v>1485</v>
      </c>
      <c r="AI8" s="18" t="s">
        <v>155</v>
      </c>
      <c r="AJ8" s="18" t="s">
        <v>156</v>
      </c>
      <c r="AK8" s="18" t="s">
        <v>157</v>
      </c>
      <c r="AL8" s="18" t="s">
        <v>282</v>
      </c>
      <c r="AM8" s="18" t="s">
        <v>283</v>
      </c>
      <c r="AN8" s="18" t="s">
        <v>1486</v>
      </c>
      <c r="AO8" s="18" t="s">
        <v>1487</v>
      </c>
      <c r="AP8" s="18" t="s">
        <v>1488</v>
      </c>
      <c r="AQ8" s="18" t="s">
        <v>362</v>
      </c>
      <c r="AR8" s="18">
        <v>21</v>
      </c>
      <c r="AS8" s="18">
        <v>28</v>
      </c>
      <c r="AT8" s="18">
        <v>7</v>
      </c>
      <c r="AU8" s="18">
        <v>40</v>
      </c>
      <c r="AV8" s="18">
        <v>800</v>
      </c>
      <c r="AW8" s="18">
        <v>2300</v>
      </c>
      <c r="AX8" s="18">
        <v>250</v>
      </c>
      <c r="AY8" s="18">
        <v>4200</v>
      </c>
      <c r="AZ8" s="18">
        <v>5.5</v>
      </c>
      <c r="BA8" s="18">
        <v>7.5</v>
      </c>
      <c r="BB8" s="18">
        <v>4.3</v>
      </c>
      <c r="BC8" s="18">
        <v>8.5</v>
      </c>
      <c r="BD8" s="18"/>
      <c r="BE8" s="18"/>
      <c r="BF8" s="18">
        <v>40</v>
      </c>
      <c r="BG8" s="18">
        <v>40</v>
      </c>
      <c r="BH8" s="18">
        <v>3600</v>
      </c>
      <c r="BI8" s="18" t="s">
        <v>163</v>
      </c>
      <c r="BJ8" s="18" t="s">
        <v>163</v>
      </c>
      <c r="BK8" s="18" t="s">
        <v>163</v>
      </c>
      <c r="BL8" s="18" t="s">
        <v>165</v>
      </c>
      <c r="BM8" s="18" t="s">
        <v>166</v>
      </c>
      <c r="BN8" s="18" t="s">
        <v>201</v>
      </c>
      <c r="BO8" s="18" t="s">
        <v>486</v>
      </c>
      <c r="BP8" s="18" t="s">
        <v>203</v>
      </c>
      <c r="BQ8" s="18" t="s">
        <v>170</v>
      </c>
      <c r="BR8" s="18" t="s">
        <v>230</v>
      </c>
      <c r="BS8" s="18" t="s">
        <v>1489</v>
      </c>
      <c r="BT8" s="18" t="s">
        <v>1490</v>
      </c>
      <c r="BU8" s="18" t="s">
        <v>171</v>
      </c>
      <c r="BV8" s="18" t="s">
        <v>231</v>
      </c>
      <c r="BW8" s="18" t="s">
        <v>172</v>
      </c>
      <c r="BX8" s="18" t="s">
        <v>290</v>
      </c>
      <c r="BY8" s="18">
        <v>4</v>
      </c>
      <c r="BZ8" s="18">
        <v>0</v>
      </c>
      <c r="CA8" s="18" t="s">
        <v>173</v>
      </c>
      <c r="CB8" s="18" t="s">
        <v>1491</v>
      </c>
      <c r="CC8" s="18"/>
      <c r="CD8" s="18"/>
      <c r="CE8" s="18"/>
      <c r="CF8" s="18"/>
      <c r="CG8" s="18">
        <v>30</v>
      </c>
      <c r="CH8" s="18">
        <v>300</v>
      </c>
      <c r="CI8" s="32">
        <v>1</v>
      </c>
      <c r="CJ8" s="32">
        <v>3</v>
      </c>
      <c r="CK8" s="32">
        <v>0.3</v>
      </c>
      <c r="CL8" s="32">
        <v>0.6</v>
      </c>
      <c r="CM8" s="33" t="s">
        <v>1492</v>
      </c>
      <c r="CN8" s="34">
        <v>0.5</v>
      </c>
      <c r="CO8" s="34">
        <v>3</v>
      </c>
      <c r="CP8" s="35" t="s">
        <v>1493</v>
      </c>
      <c r="CQ8" s="35" t="s">
        <v>1472</v>
      </c>
      <c r="CR8" s="36">
        <v>3</v>
      </c>
      <c r="CS8" s="36">
        <v>2</v>
      </c>
      <c r="CT8" s="36">
        <v>5</v>
      </c>
      <c r="CU8" s="36">
        <v>2</v>
      </c>
      <c r="CV8" s="36">
        <v>1</v>
      </c>
      <c r="CW8" s="36">
        <v>0</v>
      </c>
      <c r="CX8" s="36">
        <v>2</v>
      </c>
      <c r="CY8" s="36">
        <v>5</v>
      </c>
      <c r="CZ8" s="36">
        <v>5</v>
      </c>
      <c r="DA8" s="37">
        <v>110</v>
      </c>
      <c r="DB8" s="37">
        <v>60</v>
      </c>
      <c r="DC8" s="37">
        <v>200</v>
      </c>
      <c r="DD8" s="37">
        <v>20</v>
      </c>
      <c r="DE8" s="37">
        <v>10</v>
      </c>
      <c r="DF8" s="37">
        <v>0</v>
      </c>
      <c r="DG8" s="37">
        <v>20</v>
      </c>
      <c r="DH8" s="37">
        <v>250</v>
      </c>
      <c r="DI8" s="37">
        <v>100</v>
      </c>
      <c r="DJ8" s="38" t="s">
        <v>1494</v>
      </c>
      <c r="DK8" s="39" t="s">
        <v>1495</v>
      </c>
      <c r="DL8" s="40">
        <v>100</v>
      </c>
      <c r="DM8" s="39" t="s">
        <v>1496</v>
      </c>
      <c r="DN8" s="41"/>
      <c r="DO8" s="24" t="s">
        <v>182</v>
      </c>
      <c r="DP8" s="25" t="s">
        <v>183</v>
      </c>
      <c r="DQ8" s="25" t="s">
        <v>183</v>
      </c>
      <c r="DR8" s="24" t="s">
        <v>182</v>
      </c>
      <c r="DS8" s="41"/>
      <c r="DT8" s="41"/>
      <c r="DU8" s="41"/>
      <c r="DV8" s="41"/>
      <c r="DW8" s="41"/>
      <c r="DX8" s="41"/>
      <c r="DY8" s="41"/>
      <c r="DZ8" s="42" t="s">
        <v>1497</v>
      </c>
      <c r="EA8" s="42" t="s">
        <v>1498</v>
      </c>
      <c r="EB8" s="48" t="s">
        <v>239</v>
      </c>
      <c r="EC8" s="44" t="s">
        <v>1499</v>
      </c>
      <c r="ED8" s="45" t="s">
        <v>1500</v>
      </c>
      <c r="EE8" s="46">
        <v>1</v>
      </c>
      <c r="EF8" s="57" t="s">
        <v>1501</v>
      </c>
    </row>
    <row r="9" spans="1:136" ht="15" customHeight="1" x14ac:dyDescent="0.25">
      <c r="A9" s="16" t="s">
        <v>1663</v>
      </c>
      <c r="B9" s="17" t="s">
        <v>1479</v>
      </c>
      <c r="C9" s="17" t="s">
        <v>1664</v>
      </c>
      <c r="D9" s="18">
        <v>325.3</v>
      </c>
      <c r="E9" s="18">
        <v>9.6</v>
      </c>
      <c r="F9" s="18">
        <v>2.4</v>
      </c>
      <c r="G9" s="18">
        <v>58.3</v>
      </c>
      <c r="H9" s="18">
        <v>14.4</v>
      </c>
      <c r="I9" s="18">
        <v>27</v>
      </c>
      <c r="J9" s="18">
        <v>3.55</v>
      </c>
      <c r="K9" s="18">
        <v>114</v>
      </c>
      <c r="L9" s="18">
        <v>245</v>
      </c>
      <c r="M9" s="18">
        <v>332</v>
      </c>
      <c r="N9" s="18">
        <v>5</v>
      </c>
      <c r="O9" s="18">
        <v>2.0499999999999998</v>
      </c>
      <c r="P9" s="18"/>
      <c r="Q9" s="18"/>
      <c r="R9" s="18">
        <v>26</v>
      </c>
      <c r="S9" s="18">
        <v>0</v>
      </c>
      <c r="T9" s="18">
        <v>1.1499999999999999</v>
      </c>
      <c r="U9" s="18">
        <v>0</v>
      </c>
      <c r="V9" s="18">
        <v>0.35499999999999998</v>
      </c>
      <c r="W9" s="18">
        <v>0.03</v>
      </c>
      <c r="X9" s="18">
        <v>1.7</v>
      </c>
      <c r="Y9" s="18">
        <v>0.2</v>
      </c>
      <c r="Z9" s="18">
        <v>0</v>
      </c>
      <c r="AA9" s="18">
        <v>73</v>
      </c>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32">
        <v>0.8</v>
      </c>
      <c r="CJ9" s="32">
        <v>1.8</v>
      </c>
      <c r="CK9" s="32">
        <v>0.1</v>
      </c>
      <c r="CL9" s="32">
        <v>0.2</v>
      </c>
      <c r="CM9" s="33" t="s">
        <v>1665</v>
      </c>
      <c r="CN9" s="34">
        <v>2</v>
      </c>
      <c r="CO9" s="34">
        <v>8</v>
      </c>
      <c r="CP9" s="35" t="s">
        <v>1666</v>
      </c>
      <c r="CQ9" s="35" t="s">
        <v>209</v>
      </c>
      <c r="CR9" s="36">
        <v>3</v>
      </c>
      <c r="CS9" s="36">
        <v>1</v>
      </c>
      <c r="CT9" s="36">
        <v>1</v>
      </c>
      <c r="CU9" s="36">
        <v>1</v>
      </c>
      <c r="CV9" s="36">
        <v>1</v>
      </c>
      <c r="CW9" s="36">
        <v>0</v>
      </c>
      <c r="CX9" s="36">
        <v>0</v>
      </c>
      <c r="CY9" s="36">
        <v>2</v>
      </c>
      <c r="CZ9" s="36">
        <v>1</v>
      </c>
      <c r="DA9" s="37">
        <v>120</v>
      </c>
      <c r="DB9" s="37">
        <v>40</v>
      </c>
      <c r="DC9" s="37">
        <v>70</v>
      </c>
      <c r="DD9" s="37">
        <v>15</v>
      </c>
      <c r="DE9" s="37">
        <v>10</v>
      </c>
      <c r="DF9" s="37">
        <v>0</v>
      </c>
      <c r="DG9" s="37">
        <v>0</v>
      </c>
      <c r="DH9" s="37">
        <v>200</v>
      </c>
      <c r="DI9" s="37">
        <v>30</v>
      </c>
      <c r="DJ9" s="38" t="s">
        <v>724</v>
      </c>
      <c r="DK9" s="39" t="s">
        <v>1495</v>
      </c>
      <c r="DL9" s="40">
        <v>100</v>
      </c>
      <c r="DM9" s="39" t="s">
        <v>1667</v>
      </c>
      <c r="DN9" s="24" t="s">
        <v>182</v>
      </c>
      <c r="DO9" s="41"/>
      <c r="DP9" s="41"/>
      <c r="DQ9" s="41"/>
      <c r="DR9" s="41"/>
      <c r="DS9" s="41"/>
      <c r="DT9" s="41"/>
      <c r="DU9" s="41"/>
      <c r="DV9" s="41"/>
      <c r="DW9" s="24" t="s">
        <v>182</v>
      </c>
      <c r="DX9" s="25" t="s">
        <v>183</v>
      </c>
      <c r="DY9" s="25" t="s">
        <v>183</v>
      </c>
      <c r="DZ9" s="42" t="s">
        <v>1668</v>
      </c>
      <c r="EA9" s="42" t="s">
        <v>1669</v>
      </c>
      <c r="EB9" s="48" t="s">
        <v>239</v>
      </c>
      <c r="EC9" s="44" t="s">
        <v>1499</v>
      </c>
      <c r="ED9" s="45" t="s">
        <v>1518</v>
      </c>
      <c r="EE9" s="46">
        <v>1</v>
      </c>
      <c r="EF9" s="57" t="s">
        <v>1519</v>
      </c>
    </row>
    <row r="10" spans="1:136" ht="15" customHeight="1" x14ac:dyDescent="0.25">
      <c r="A10" s="16" t="s">
        <v>2452</v>
      </c>
      <c r="B10" s="29" t="s">
        <v>2325</v>
      </c>
      <c r="C10" s="29" t="s">
        <v>2453</v>
      </c>
      <c r="D10" s="30">
        <v>626.20000000000005</v>
      </c>
      <c r="E10" s="30">
        <v>22.2</v>
      </c>
      <c r="F10" s="30">
        <v>55.6</v>
      </c>
      <c r="G10" s="30">
        <v>6.2</v>
      </c>
      <c r="H10" s="30">
        <v>10.1</v>
      </c>
      <c r="I10" s="30">
        <v>62</v>
      </c>
      <c r="J10" s="30">
        <v>5.2</v>
      </c>
      <c r="K10" s="30">
        <v>340</v>
      </c>
      <c r="L10" s="30">
        <v>730</v>
      </c>
      <c r="M10" s="30">
        <v>170</v>
      </c>
      <c r="N10" s="30">
        <v>24</v>
      </c>
      <c r="O10" s="30">
        <v>5.5</v>
      </c>
      <c r="P10" s="30">
        <v>1.7</v>
      </c>
      <c r="Q10" s="30">
        <v>1.1000000000000001</v>
      </c>
      <c r="R10" s="30">
        <v>22</v>
      </c>
      <c r="S10" s="30">
        <v>1</v>
      </c>
      <c r="T10" s="30">
        <v>1.68</v>
      </c>
      <c r="U10" s="30">
        <v>0</v>
      </c>
      <c r="V10" s="30">
        <v>0.99</v>
      </c>
      <c r="W10" s="30">
        <v>0.18</v>
      </c>
      <c r="X10" s="30">
        <v>5.0999999999999996</v>
      </c>
      <c r="Y10" s="30">
        <v>0.25</v>
      </c>
      <c r="Z10" s="30">
        <v>0</v>
      </c>
      <c r="AA10" s="30">
        <v>115</v>
      </c>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19">
        <v>0.5</v>
      </c>
      <c r="CJ10" s="19">
        <v>1.5</v>
      </c>
      <c r="CK10" s="19">
        <v>0.2</v>
      </c>
      <c r="CL10" s="19">
        <v>0.4</v>
      </c>
      <c r="CM10" s="17" t="s">
        <v>1709</v>
      </c>
      <c r="CN10" s="20">
        <v>0.2</v>
      </c>
      <c r="CO10" s="20">
        <v>1.5</v>
      </c>
      <c r="CP10" s="17" t="s">
        <v>2454</v>
      </c>
      <c r="CQ10" s="17" t="s">
        <v>209</v>
      </c>
      <c r="CR10" s="21">
        <v>4</v>
      </c>
      <c r="CS10" s="21">
        <v>3</v>
      </c>
      <c r="CT10" s="21">
        <v>8</v>
      </c>
      <c r="CU10" s="21">
        <v>2</v>
      </c>
      <c r="CV10" s="21">
        <v>2</v>
      </c>
      <c r="CW10" s="21">
        <v>0</v>
      </c>
      <c r="CX10" s="21">
        <v>2</v>
      </c>
      <c r="CY10" s="21">
        <v>10</v>
      </c>
      <c r="CZ10" s="21">
        <v>8</v>
      </c>
      <c r="DA10" s="21">
        <v>130</v>
      </c>
      <c r="DB10" s="21">
        <v>70</v>
      </c>
      <c r="DC10" s="21">
        <v>280</v>
      </c>
      <c r="DD10" s="21">
        <v>20</v>
      </c>
      <c r="DE10" s="21">
        <v>20</v>
      </c>
      <c r="DF10" s="21">
        <v>0</v>
      </c>
      <c r="DG10" s="21">
        <v>20</v>
      </c>
      <c r="DH10" s="21">
        <v>350</v>
      </c>
      <c r="DI10" s="21">
        <v>150</v>
      </c>
      <c r="DJ10" s="17" t="s">
        <v>2455</v>
      </c>
      <c r="DK10" s="17" t="s">
        <v>1979</v>
      </c>
      <c r="DL10" s="22">
        <v>30</v>
      </c>
      <c r="DM10" s="17" t="s">
        <v>2456</v>
      </c>
      <c r="DN10" s="23"/>
      <c r="DO10" s="23"/>
      <c r="DP10" s="24" t="s">
        <v>182</v>
      </c>
      <c r="DQ10" s="25" t="s">
        <v>183</v>
      </c>
      <c r="DR10" s="25" t="s">
        <v>183</v>
      </c>
      <c r="DS10" s="24" t="s">
        <v>182</v>
      </c>
      <c r="DT10" s="23"/>
      <c r="DU10" s="23"/>
      <c r="DV10" s="23"/>
      <c r="DW10" s="23"/>
      <c r="DX10" s="23"/>
      <c r="DY10" s="23"/>
      <c r="DZ10" s="17" t="s">
        <v>2457</v>
      </c>
      <c r="EA10" s="17" t="s">
        <v>2458</v>
      </c>
      <c r="EB10" s="48" t="s">
        <v>239</v>
      </c>
      <c r="EC10" s="17" t="s">
        <v>2351</v>
      </c>
      <c r="ED10" s="27" t="s">
        <v>1518</v>
      </c>
      <c r="EE10" s="22">
        <v>2</v>
      </c>
      <c r="EF10" s="9" t="s">
        <v>1519</v>
      </c>
    </row>
    <row r="11" spans="1:136" ht="15" customHeight="1" x14ac:dyDescent="0.25">
      <c r="A11" s="16" t="s">
        <v>2400</v>
      </c>
      <c r="B11" s="29" t="s">
        <v>2325</v>
      </c>
      <c r="C11" s="29" t="s">
        <v>2401</v>
      </c>
      <c r="D11" s="30">
        <v>450</v>
      </c>
      <c r="E11" s="30">
        <v>21.6</v>
      </c>
      <c r="F11" s="30">
        <v>32.6</v>
      </c>
      <c r="G11" s="30">
        <v>2.8</v>
      </c>
      <c r="H11" s="30">
        <v>32.9</v>
      </c>
      <c r="I11" s="30">
        <v>180</v>
      </c>
      <c r="J11" s="30">
        <v>5.5</v>
      </c>
      <c r="K11" s="30">
        <v>330</v>
      </c>
      <c r="L11" s="30">
        <v>490</v>
      </c>
      <c r="M11" s="30">
        <v>630</v>
      </c>
      <c r="N11" s="30">
        <v>60</v>
      </c>
      <c r="O11" s="30">
        <v>3.5</v>
      </c>
      <c r="P11" s="30">
        <v>0.86</v>
      </c>
      <c r="Q11" s="30">
        <v>3.1</v>
      </c>
      <c r="R11" s="30">
        <v>22</v>
      </c>
      <c r="S11" s="30">
        <v>0</v>
      </c>
      <c r="T11" s="30">
        <v>1.48</v>
      </c>
      <c r="U11" s="30">
        <v>0</v>
      </c>
      <c r="V11" s="30">
        <v>0.34</v>
      </c>
      <c r="W11" s="30">
        <v>0.03</v>
      </c>
      <c r="X11" s="30">
        <v>1.8</v>
      </c>
      <c r="Y11" s="30">
        <v>0.06</v>
      </c>
      <c r="Z11" s="30">
        <v>0</v>
      </c>
      <c r="AA11" s="30">
        <v>41</v>
      </c>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2">
        <v>0.3</v>
      </c>
      <c r="CJ11" s="32">
        <v>1.2</v>
      </c>
      <c r="CK11" s="32">
        <v>0.1</v>
      </c>
      <c r="CL11" s="32">
        <v>0.3</v>
      </c>
      <c r="CM11" s="33" t="s">
        <v>1709</v>
      </c>
      <c r="CN11" s="34">
        <v>0.5</v>
      </c>
      <c r="CO11" s="34">
        <v>2.5</v>
      </c>
      <c r="CP11" s="35" t="s">
        <v>2402</v>
      </c>
      <c r="CQ11" s="35" t="s">
        <v>209</v>
      </c>
      <c r="CR11" s="36">
        <v>3</v>
      </c>
      <c r="CS11" s="36">
        <v>1</v>
      </c>
      <c r="CT11" s="36">
        <v>2</v>
      </c>
      <c r="CU11" s="36">
        <v>1</v>
      </c>
      <c r="CV11" s="36">
        <v>1</v>
      </c>
      <c r="CW11" s="36">
        <v>0</v>
      </c>
      <c r="CX11" s="36">
        <v>1</v>
      </c>
      <c r="CY11" s="36">
        <v>3</v>
      </c>
      <c r="CZ11" s="36">
        <v>2</v>
      </c>
      <c r="DA11" s="37">
        <v>110</v>
      </c>
      <c r="DB11" s="37">
        <v>40</v>
      </c>
      <c r="DC11" s="37">
        <v>80</v>
      </c>
      <c r="DD11" s="37">
        <v>15</v>
      </c>
      <c r="DE11" s="37">
        <v>10</v>
      </c>
      <c r="DF11" s="37">
        <v>0</v>
      </c>
      <c r="DG11" s="37">
        <v>10</v>
      </c>
      <c r="DH11" s="37">
        <v>180</v>
      </c>
      <c r="DI11" s="37">
        <v>40</v>
      </c>
      <c r="DJ11" s="38" t="s">
        <v>2403</v>
      </c>
      <c r="DK11" s="39" t="s">
        <v>1979</v>
      </c>
      <c r="DL11" s="40">
        <v>30</v>
      </c>
      <c r="DM11" s="39" t="s">
        <v>2404</v>
      </c>
      <c r="DN11" s="24" t="s">
        <v>182</v>
      </c>
      <c r="DO11" s="41"/>
      <c r="DP11" s="41"/>
      <c r="DQ11" s="41"/>
      <c r="DR11" s="41"/>
      <c r="DS11" s="41"/>
      <c r="DT11" s="41"/>
      <c r="DU11" s="41"/>
      <c r="DV11" s="41"/>
      <c r="DW11" s="24" t="s">
        <v>182</v>
      </c>
      <c r="DX11" s="25" t="s">
        <v>183</v>
      </c>
      <c r="DY11" s="25" t="s">
        <v>183</v>
      </c>
      <c r="DZ11" s="42" t="s">
        <v>2405</v>
      </c>
      <c r="EA11" s="42" t="s">
        <v>2406</v>
      </c>
      <c r="EB11" s="48" t="s">
        <v>239</v>
      </c>
      <c r="EC11" s="44" t="s">
        <v>2407</v>
      </c>
      <c r="ED11" s="45" t="s">
        <v>1500</v>
      </c>
      <c r="EE11" s="46">
        <v>1</v>
      </c>
      <c r="EF11" s="57" t="s">
        <v>1501</v>
      </c>
    </row>
    <row r="12" spans="1:136" ht="15" customHeight="1" x14ac:dyDescent="0.25">
      <c r="A12" s="16" t="s">
        <v>1467</v>
      </c>
      <c r="B12" s="29" t="s">
        <v>1468</v>
      </c>
      <c r="C12" s="29" t="s">
        <v>1469</v>
      </c>
      <c r="D12" s="30">
        <v>27.2</v>
      </c>
      <c r="E12" s="30">
        <v>2.2000000000000002</v>
      </c>
      <c r="F12" s="30">
        <v>0.8</v>
      </c>
      <c r="G12" s="30">
        <v>0.8</v>
      </c>
      <c r="H12" s="30">
        <v>1.4</v>
      </c>
      <c r="I12" s="30">
        <v>2</v>
      </c>
      <c r="J12" s="30">
        <v>0.34</v>
      </c>
      <c r="K12" s="30">
        <v>10</v>
      </c>
      <c r="L12" s="30">
        <v>102</v>
      </c>
      <c r="M12" s="30">
        <v>385</v>
      </c>
      <c r="N12" s="30">
        <v>7</v>
      </c>
      <c r="O12" s="30">
        <v>0.3</v>
      </c>
      <c r="P12" s="30">
        <v>0.32500000000000001</v>
      </c>
      <c r="Q12" s="30">
        <v>6.4000000000000001E-2</v>
      </c>
      <c r="R12" s="30">
        <v>17.5</v>
      </c>
      <c r="S12" s="30">
        <v>0</v>
      </c>
      <c r="T12" s="30">
        <v>0</v>
      </c>
      <c r="U12" s="30">
        <v>0</v>
      </c>
      <c r="V12" s="30">
        <v>0.06</v>
      </c>
      <c r="W12" s="30">
        <v>0</v>
      </c>
      <c r="X12" s="30">
        <v>3.55</v>
      </c>
      <c r="Y12" s="30">
        <v>0.01</v>
      </c>
      <c r="Z12" s="30">
        <v>0</v>
      </c>
      <c r="AA12" s="30">
        <v>30</v>
      </c>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19">
        <v>0.05</v>
      </c>
      <c r="CJ12" s="19">
        <v>0.15</v>
      </c>
      <c r="CK12" s="19">
        <v>0.05</v>
      </c>
      <c r="CL12" s="19">
        <v>0.2</v>
      </c>
      <c r="CM12" s="17" t="s">
        <v>1470</v>
      </c>
      <c r="CN12" s="20">
        <v>10</v>
      </c>
      <c r="CO12" s="20">
        <v>30</v>
      </c>
      <c r="CP12" s="17" t="s">
        <v>1471</v>
      </c>
      <c r="CQ12" s="17" t="s">
        <v>1472</v>
      </c>
      <c r="CR12" s="21">
        <v>5</v>
      </c>
      <c r="CS12" s="21">
        <v>10</v>
      </c>
      <c r="CT12" s="21">
        <v>0</v>
      </c>
      <c r="CU12" s="21">
        <v>5</v>
      </c>
      <c r="CV12" s="21">
        <v>5</v>
      </c>
      <c r="CW12" s="21">
        <v>0</v>
      </c>
      <c r="CX12" s="21">
        <v>5</v>
      </c>
      <c r="CY12" s="21">
        <v>30</v>
      </c>
      <c r="CZ12" s="21">
        <v>15</v>
      </c>
      <c r="DA12" s="21">
        <v>50</v>
      </c>
      <c r="DB12" s="21">
        <v>100</v>
      </c>
      <c r="DC12" s="21">
        <v>0</v>
      </c>
      <c r="DD12" s="21">
        <v>50</v>
      </c>
      <c r="DE12" s="21">
        <v>40</v>
      </c>
      <c r="DF12" s="21">
        <v>0</v>
      </c>
      <c r="DG12" s="21">
        <v>40</v>
      </c>
      <c r="DH12" s="21">
        <v>400</v>
      </c>
      <c r="DI12" s="21">
        <v>200</v>
      </c>
      <c r="DJ12" s="17" t="s">
        <v>1473</v>
      </c>
      <c r="DK12" s="17" t="s">
        <v>180</v>
      </c>
      <c r="DL12" s="22">
        <v>75</v>
      </c>
      <c r="DM12" s="17" t="s">
        <v>1474</v>
      </c>
      <c r="DN12" s="25" t="s">
        <v>183</v>
      </c>
      <c r="DO12" s="25" t="s">
        <v>183</v>
      </c>
      <c r="DP12" s="25" t="s">
        <v>183</v>
      </c>
      <c r="DQ12" s="25" t="s">
        <v>183</v>
      </c>
      <c r="DR12" s="25" t="s">
        <v>183</v>
      </c>
      <c r="DS12" s="25" t="s">
        <v>183</v>
      </c>
      <c r="DT12" s="25" t="s">
        <v>183</v>
      </c>
      <c r="DU12" s="25" t="s">
        <v>183</v>
      </c>
      <c r="DV12" s="25" t="s">
        <v>183</v>
      </c>
      <c r="DW12" s="25" t="s">
        <v>183</v>
      </c>
      <c r="DX12" s="25" t="s">
        <v>183</v>
      </c>
      <c r="DY12" s="25" t="s">
        <v>183</v>
      </c>
      <c r="DZ12" s="17" t="s">
        <v>1475</v>
      </c>
      <c r="EA12" s="17" t="s">
        <v>1476</v>
      </c>
      <c r="EB12" s="43" t="s">
        <v>214</v>
      </c>
      <c r="EC12" s="17" t="s">
        <v>516</v>
      </c>
      <c r="ED12" s="27" t="s">
        <v>1067</v>
      </c>
      <c r="EE12" s="22">
        <v>4</v>
      </c>
      <c r="EF12" s="54" t="s">
        <v>1477</v>
      </c>
    </row>
    <row r="13" spans="1:136" ht="15" customHeight="1" x14ac:dyDescent="0.25">
      <c r="A13" s="16" t="s">
        <v>1502</v>
      </c>
      <c r="B13" s="29" t="s">
        <v>1479</v>
      </c>
      <c r="C13" s="29" t="s">
        <v>1503</v>
      </c>
      <c r="D13" s="30">
        <v>340.3</v>
      </c>
      <c r="E13" s="30">
        <v>9.9</v>
      </c>
      <c r="F13" s="30">
        <v>3.1</v>
      </c>
      <c r="G13" s="30">
        <v>60.6</v>
      </c>
      <c r="H13" s="30">
        <v>13.1</v>
      </c>
      <c r="I13" s="30">
        <v>28</v>
      </c>
      <c r="J13" s="30">
        <v>2.2000000000000002</v>
      </c>
      <c r="K13" s="30">
        <v>95</v>
      </c>
      <c r="L13" s="30">
        <v>192</v>
      </c>
      <c r="M13" s="30">
        <v>350</v>
      </c>
      <c r="N13" s="30">
        <v>10</v>
      </c>
      <c r="O13" s="30">
        <v>1.2</v>
      </c>
      <c r="P13" s="30">
        <v>0.4</v>
      </c>
      <c r="Q13" s="30">
        <v>1.1000000000000001</v>
      </c>
      <c r="R13" s="30">
        <v>17</v>
      </c>
      <c r="S13" s="30">
        <v>0</v>
      </c>
      <c r="T13" s="30">
        <v>0.7</v>
      </c>
      <c r="U13" s="30">
        <v>0</v>
      </c>
      <c r="V13" s="30">
        <v>0.17</v>
      </c>
      <c r="W13" s="30">
        <v>0.02</v>
      </c>
      <c r="X13" s="30">
        <v>6.6</v>
      </c>
      <c r="Y13" s="30">
        <v>0.2</v>
      </c>
      <c r="Z13" s="30">
        <v>0</v>
      </c>
      <c r="AA13" s="30">
        <v>23</v>
      </c>
      <c r="AB13" s="31">
        <v>1232</v>
      </c>
      <c r="AC13" s="31" t="s">
        <v>1504</v>
      </c>
      <c r="AD13" s="31" t="s">
        <v>221</v>
      </c>
      <c r="AE13" s="31" t="s">
        <v>1505</v>
      </c>
      <c r="AF13" s="31" t="s">
        <v>1506</v>
      </c>
      <c r="AG13" s="31" t="s">
        <v>1507</v>
      </c>
      <c r="AH13" s="31" t="s">
        <v>1508</v>
      </c>
      <c r="AI13" s="31" t="s">
        <v>155</v>
      </c>
      <c r="AJ13" s="31" t="s">
        <v>1509</v>
      </c>
      <c r="AK13" s="31" t="s">
        <v>157</v>
      </c>
      <c r="AL13" s="31" t="s">
        <v>282</v>
      </c>
      <c r="AM13" s="31" t="s">
        <v>159</v>
      </c>
      <c r="AN13" s="31"/>
      <c r="AO13" s="31" t="s">
        <v>1510</v>
      </c>
      <c r="AP13" s="31" t="s">
        <v>1488</v>
      </c>
      <c r="AQ13" s="31" t="s">
        <v>162</v>
      </c>
      <c r="AR13" s="31">
        <v>15</v>
      </c>
      <c r="AS13" s="31">
        <v>20</v>
      </c>
      <c r="AT13" s="31">
        <v>2</v>
      </c>
      <c r="AU13" s="31">
        <v>40</v>
      </c>
      <c r="AV13" s="31">
        <v>500</v>
      </c>
      <c r="AW13" s="31">
        <v>1000</v>
      </c>
      <c r="AX13" s="31">
        <v>200</v>
      </c>
      <c r="AY13" s="31">
        <v>2000</v>
      </c>
      <c r="AZ13" s="31">
        <v>6.5</v>
      </c>
      <c r="BA13" s="31">
        <v>7.5</v>
      </c>
      <c r="BB13" s="31">
        <v>6</v>
      </c>
      <c r="BC13" s="31">
        <v>8</v>
      </c>
      <c r="BD13" s="31">
        <v>30</v>
      </c>
      <c r="BE13" s="31"/>
      <c r="BF13" s="31">
        <v>55</v>
      </c>
      <c r="BG13" s="31">
        <v>70</v>
      </c>
      <c r="BH13" s="31">
        <v>4400</v>
      </c>
      <c r="BI13" s="31" t="s">
        <v>163</v>
      </c>
      <c r="BJ13" s="31" t="s">
        <v>163</v>
      </c>
      <c r="BK13" s="31" t="s">
        <v>163</v>
      </c>
      <c r="BL13" s="31" t="s">
        <v>165</v>
      </c>
      <c r="BM13" s="31" t="s">
        <v>288</v>
      </c>
      <c r="BN13" s="31" t="s">
        <v>166</v>
      </c>
      <c r="BO13" s="31" t="s">
        <v>202</v>
      </c>
      <c r="BP13" s="31" t="s">
        <v>203</v>
      </c>
      <c r="BQ13" s="31" t="s">
        <v>170</v>
      </c>
      <c r="BR13" s="31" t="s">
        <v>230</v>
      </c>
      <c r="BS13" s="31"/>
      <c r="BT13" s="31"/>
      <c r="BU13" s="31" t="s">
        <v>171</v>
      </c>
      <c r="BV13" s="31" t="s">
        <v>748</v>
      </c>
      <c r="BW13" s="31" t="s">
        <v>172</v>
      </c>
      <c r="BX13" s="31" t="s">
        <v>172</v>
      </c>
      <c r="BY13" s="31">
        <v>-4</v>
      </c>
      <c r="BZ13" s="31">
        <v>0</v>
      </c>
      <c r="CA13" s="31" t="s">
        <v>1511</v>
      </c>
      <c r="CB13" s="31" t="s">
        <v>790</v>
      </c>
      <c r="CC13" s="31" t="s">
        <v>720</v>
      </c>
      <c r="CD13" s="31" t="s">
        <v>1512</v>
      </c>
      <c r="CE13" s="31"/>
      <c r="CF13" s="31" t="s">
        <v>850</v>
      </c>
      <c r="CG13" s="31">
        <v>90</v>
      </c>
      <c r="CH13" s="31">
        <v>240</v>
      </c>
      <c r="CI13" s="19">
        <v>0.6</v>
      </c>
      <c r="CJ13" s="19">
        <v>1.2</v>
      </c>
      <c r="CK13" s="19">
        <v>0.1</v>
      </c>
      <c r="CL13" s="19">
        <v>0.2</v>
      </c>
      <c r="CM13" s="17" t="s">
        <v>1513</v>
      </c>
      <c r="CN13" s="20">
        <v>1.5</v>
      </c>
      <c r="CO13" s="20">
        <v>8</v>
      </c>
      <c r="CP13" s="17" t="s">
        <v>1514</v>
      </c>
      <c r="CQ13" s="17" t="s">
        <v>178</v>
      </c>
      <c r="CR13" s="21">
        <v>3</v>
      </c>
      <c r="CS13" s="21">
        <v>1</v>
      </c>
      <c r="CT13" s="21">
        <v>1</v>
      </c>
      <c r="CU13" s="21">
        <v>1</v>
      </c>
      <c r="CV13" s="21">
        <v>1</v>
      </c>
      <c r="CW13" s="21">
        <v>0</v>
      </c>
      <c r="CX13" s="21">
        <v>0</v>
      </c>
      <c r="CY13" s="21">
        <v>2</v>
      </c>
      <c r="CZ13" s="21">
        <v>1</v>
      </c>
      <c r="DA13" s="21">
        <v>120</v>
      </c>
      <c r="DB13" s="21">
        <v>40</v>
      </c>
      <c r="DC13" s="21">
        <v>80</v>
      </c>
      <c r="DD13" s="21">
        <v>15</v>
      </c>
      <c r="DE13" s="21">
        <v>10</v>
      </c>
      <c r="DF13" s="21">
        <v>0</v>
      </c>
      <c r="DG13" s="21">
        <v>0</v>
      </c>
      <c r="DH13" s="21">
        <v>200</v>
      </c>
      <c r="DI13" s="21">
        <v>30</v>
      </c>
      <c r="DJ13" s="17" t="s">
        <v>1515</v>
      </c>
      <c r="DK13" s="17" t="s">
        <v>1495</v>
      </c>
      <c r="DL13" s="22">
        <v>100</v>
      </c>
      <c r="DM13" s="17" t="s">
        <v>1516</v>
      </c>
      <c r="DN13" s="24" t="s">
        <v>182</v>
      </c>
      <c r="DO13" s="23"/>
      <c r="DP13" s="23"/>
      <c r="DQ13" s="23"/>
      <c r="DR13" s="23"/>
      <c r="DS13" s="23"/>
      <c r="DT13" s="23"/>
      <c r="DU13" s="23"/>
      <c r="DV13" s="23"/>
      <c r="DW13" s="24" t="s">
        <v>182</v>
      </c>
      <c r="DX13" s="25" t="s">
        <v>183</v>
      </c>
      <c r="DY13" s="25" t="s">
        <v>183</v>
      </c>
      <c r="DZ13" s="17" t="s">
        <v>1517</v>
      </c>
      <c r="EA13" s="17" t="s">
        <v>440</v>
      </c>
      <c r="EB13" s="48" t="s">
        <v>239</v>
      </c>
      <c r="EC13" s="17" t="s">
        <v>1499</v>
      </c>
      <c r="ED13" s="27" t="s">
        <v>1518</v>
      </c>
      <c r="EE13" s="22">
        <v>1</v>
      </c>
      <c r="EF13" s="9" t="s">
        <v>1519</v>
      </c>
    </row>
    <row r="14" spans="1:136" ht="15" customHeight="1" x14ac:dyDescent="0.25">
      <c r="A14" s="16" t="s">
        <v>2382</v>
      </c>
      <c r="B14" s="17" t="s">
        <v>2325</v>
      </c>
      <c r="C14" s="17" t="s">
        <v>2383</v>
      </c>
      <c r="D14" s="18">
        <v>317.89999999999998</v>
      </c>
      <c r="E14" s="18">
        <v>25.3</v>
      </c>
      <c r="F14" s="18">
        <v>1.7</v>
      </c>
      <c r="G14" s="18">
        <v>40.9</v>
      </c>
      <c r="H14" s="18">
        <v>14.6</v>
      </c>
      <c r="I14" s="18">
        <v>56</v>
      </c>
      <c r="J14" s="18">
        <v>5.6</v>
      </c>
      <c r="K14" s="18">
        <v>95</v>
      </c>
      <c r="L14" s="18">
        <v>286</v>
      </c>
      <c r="M14" s="18">
        <v>670</v>
      </c>
      <c r="N14" s="18">
        <v>13</v>
      </c>
      <c r="O14" s="18">
        <v>1.6</v>
      </c>
      <c r="P14" s="18"/>
      <c r="Q14" s="18"/>
      <c r="R14" s="18">
        <v>16</v>
      </c>
      <c r="S14" s="18">
        <v>4</v>
      </c>
      <c r="T14" s="18">
        <v>0.7</v>
      </c>
      <c r="U14" s="18">
        <v>4</v>
      </c>
      <c r="V14" s="18">
        <v>0.22</v>
      </c>
      <c r="W14" s="18">
        <v>0.01</v>
      </c>
      <c r="X14" s="18">
        <v>1.6</v>
      </c>
      <c r="Y14" s="18">
        <v>0.4</v>
      </c>
      <c r="Z14" s="18">
        <v>0</v>
      </c>
      <c r="AA14" s="18">
        <v>80</v>
      </c>
      <c r="AB14" s="18">
        <v>7209</v>
      </c>
      <c r="AC14" s="18" t="s">
        <v>2384</v>
      </c>
      <c r="AD14" s="18" t="s">
        <v>2385</v>
      </c>
      <c r="AE14" s="18" t="s">
        <v>2062</v>
      </c>
      <c r="AF14" s="18" t="s">
        <v>2386</v>
      </c>
      <c r="AG14" s="18" t="s">
        <v>2387</v>
      </c>
      <c r="AH14" s="18" t="s">
        <v>2388</v>
      </c>
      <c r="AI14" s="18" t="s">
        <v>155</v>
      </c>
      <c r="AJ14" s="18" t="s">
        <v>156</v>
      </c>
      <c r="AK14" s="18" t="s">
        <v>157</v>
      </c>
      <c r="AL14" s="18" t="s">
        <v>282</v>
      </c>
      <c r="AM14" s="18" t="s">
        <v>159</v>
      </c>
      <c r="AN14" s="18" t="s">
        <v>1584</v>
      </c>
      <c r="AO14" s="18" t="s">
        <v>2165</v>
      </c>
      <c r="AP14" s="18" t="s">
        <v>2066</v>
      </c>
      <c r="AQ14" s="18" t="s">
        <v>162</v>
      </c>
      <c r="AR14" s="18">
        <v>15</v>
      </c>
      <c r="AS14" s="18">
        <v>29</v>
      </c>
      <c r="AT14" s="18">
        <v>5</v>
      </c>
      <c r="AU14" s="18">
        <v>32</v>
      </c>
      <c r="AV14" s="18">
        <v>600</v>
      </c>
      <c r="AW14" s="18">
        <v>1000</v>
      </c>
      <c r="AX14" s="18">
        <v>250</v>
      </c>
      <c r="AY14" s="18">
        <v>2500</v>
      </c>
      <c r="AZ14" s="18">
        <v>5.5</v>
      </c>
      <c r="BA14" s="18">
        <v>7.5</v>
      </c>
      <c r="BB14" s="18">
        <v>4.5</v>
      </c>
      <c r="BC14" s="18">
        <v>8.1999999999999993</v>
      </c>
      <c r="BD14" s="18">
        <v>30</v>
      </c>
      <c r="BE14" s="18">
        <v>10</v>
      </c>
      <c r="BF14" s="18">
        <v>45</v>
      </c>
      <c r="BG14" s="18">
        <v>55</v>
      </c>
      <c r="BH14" s="18">
        <v>3800</v>
      </c>
      <c r="BI14" s="18" t="s">
        <v>163</v>
      </c>
      <c r="BJ14" s="18" t="s">
        <v>163</v>
      </c>
      <c r="BK14" s="18" t="s">
        <v>163</v>
      </c>
      <c r="BL14" s="18" t="s">
        <v>165</v>
      </c>
      <c r="BM14" s="18" t="s">
        <v>166</v>
      </c>
      <c r="BN14" s="18" t="s">
        <v>201</v>
      </c>
      <c r="BO14" s="18" t="s">
        <v>168</v>
      </c>
      <c r="BP14" s="18" t="s">
        <v>203</v>
      </c>
      <c r="BQ14" s="18" t="s">
        <v>170</v>
      </c>
      <c r="BR14" s="18" t="s">
        <v>230</v>
      </c>
      <c r="BS14" s="18"/>
      <c r="BT14" s="18"/>
      <c r="BU14" s="18" t="s">
        <v>171</v>
      </c>
      <c r="BV14" s="18" t="s">
        <v>231</v>
      </c>
      <c r="BW14" s="18" t="s">
        <v>172</v>
      </c>
      <c r="BX14" s="18" t="s">
        <v>290</v>
      </c>
      <c r="BY14" s="18"/>
      <c r="BZ14" s="18"/>
      <c r="CA14" s="18" t="s">
        <v>1511</v>
      </c>
      <c r="CB14" s="18" t="s">
        <v>790</v>
      </c>
      <c r="CC14" s="18"/>
      <c r="CD14" s="18"/>
      <c r="CE14" s="18"/>
      <c r="CF14" s="18"/>
      <c r="CG14" s="18">
        <v>70</v>
      </c>
      <c r="CH14" s="18">
        <v>240</v>
      </c>
      <c r="CI14" s="32">
        <v>0.2</v>
      </c>
      <c r="CJ14" s="32">
        <v>0.8</v>
      </c>
      <c r="CK14" s="32">
        <v>0.2</v>
      </c>
      <c r="CL14" s="32">
        <v>0.4</v>
      </c>
      <c r="CM14" s="33" t="s">
        <v>1709</v>
      </c>
      <c r="CN14" s="34">
        <v>0.5</v>
      </c>
      <c r="CO14" s="34">
        <v>3.5</v>
      </c>
      <c r="CP14" s="35" t="s">
        <v>2389</v>
      </c>
      <c r="CQ14" s="35" t="s">
        <v>209</v>
      </c>
      <c r="CR14" s="36">
        <v>3</v>
      </c>
      <c r="CS14" s="36">
        <v>2</v>
      </c>
      <c r="CT14" s="36">
        <v>4</v>
      </c>
      <c r="CU14" s="36">
        <v>1</v>
      </c>
      <c r="CV14" s="36">
        <v>2</v>
      </c>
      <c r="CW14" s="36">
        <v>0</v>
      </c>
      <c r="CX14" s="36">
        <v>1</v>
      </c>
      <c r="CY14" s="36">
        <v>4</v>
      </c>
      <c r="CZ14" s="36">
        <v>3</v>
      </c>
      <c r="DA14" s="37">
        <v>110</v>
      </c>
      <c r="DB14" s="37">
        <v>50</v>
      </c>
      <c r="DC14" s="37">
        <v>150</v>
      </c>
      <c r="DD14" s="37">
        <v>10</v>
      </c>
      <c r="DE14" s="37">
        <v>15</v>
      </c>
      <c r="DF14" s="37">
        <v>0</v>
      </c>
      <c r="DG14" s="37">
        <v>10</v>
      </c>
      <c r="DH14" s="37">
        <v>250</v>
      </c>
      <c r="DI14" s="37">
        <v>60</v>
      </c>
      <c r="DJ14" s="38" t="s">
        <v>2390</v>
      </c>
      <c r="DK14" s="39" t="s">
        <v>1979</v>
      </c>
      <c r="DL14" s="40">
        <v>150</v>
      </c>
      <c r="DM14" s="39" t="s">
        <v>2391</v>
      </c>
      <c r="DN14" s="41"/>
      <c r="DO14" s="41"/>
      <c r="DP14" s="41"/>
      <c r="DQ14" s="41"/>
      <c r="DR14" s="41"/>
      <c r="DS14" s="41"/>
      <c r="DT14" s="41"/>
      <c r="DU14" s="41"/>
      <c r="DV14" s="24" t="s">
        <v>182</v>
      </c>
      <c r="DW14" s="25" t="s">
        <v>183</v>
      </c>
      <c r="DX14" s="25" t="s">
        <v>183</v>
      </c>
      <c r="DY14" s="24" t="s">
        <v>182</v>
      </c>
      <c r="DZ14" s="42" t="s">
        <v>2392</v>
      </c>
      <c r="EA14" s="42" t="s">
        <v>2393</v>
      </c>
      <c r="EB14" s="48" t="s">
        <v>239</v>
      </c>
      <c r="EC14" s="44" t="s">
        <v>2364</v>
      </c>
      <c r="ED14" s="45" t="s">
        <v>1518</v>
      </c>
      <c r="EE14" s="46">
        <v>1</v>
      </c>
      <c r="EF14" s="57" t="s">
        <v>1519</v>
      </c>
    </row>
    <row r="15" spans="1:136" ht="15" customHeight="1" x14ac:dyDescent="0.25">
      <c r="A15" s="16" t="s">
        <v>1670</v>
      </c>
      <c r="B15" s="29" t="s">
        <v>1479</v>
      </c>
      <c r="C15" s="29" t="s">
        <v>1671</v>
      </c>
      <c r="D15" s="30">
        <v>325.5</v>
      </c>
      <c r="E15" s="30">
        <v>11.2</v>
      </c>
      <c r="F15" s="30">
        <v>2.4</v>
      </c>
      <c r="G15" s="30">
        <v>58.3</v>
      </c>
      <c r="H15" s="30">
        <v>11.4</v>
      </c>
      <c r="I15" s="30">
        <v>35</v>
      </c>
      <c r="J15" s="30">
        <v>3.43</v>
      </c>
      <c r="K15" s="30">
        <v>120</v>
      </c>
      <c r="L15" s="30">
        <v>302</v>
      </c>
      <c r="M15" s="30">
        <v>315</v>
      </c>
      <c r="N15" s="30">
        <v>2</v>
      </c>
      <c r="O15" s="30">
        <v>2</v>
      </c>
      <c r="P15" s="30"/>
      <c r="Q15" s="30"/>
      <c r="R15" s="30">
        <v>15.6</v>
      </c>
      <c r="S15" s="30">
        <v>0</v>
      </c>
      <c r="T15" s="30">
        <v>0.93</v>
      </c>
      <c r="U15" s="30">
        <v>0</v>
      </c>
      <c r="V15" s="30">
        <v>0.45600000000000002</v>
      </c>
      <c r="W15" s="30">
        <v>0.1</v>
      </c>
      <c r="X15" s="30">
        <v>4.18</v>
      </c>
      <c r="Y15" s="30">
        <v>0.2</v>
      </c>
      <c r="Z15" s="30">
        <v>0</v>
      </c>
      <c r="AA15" s="30">
        <v>47</v>
      </c>
      <c r="AB15" s="31">
        <v>2114</v>
      </c>
      <c r="AC15" s="31" t="s">
        <v>1672</v>
      </c>
      <c r="AD15" s="31" t="s">
        <v>221</v>
      </c>
      <c r="AE15" s="31" t="s">
        <v>1505</v>
      </c>
      <c r="AF15" s="31" t="s">
        <v>1673</v>
      </c>
      <c r="AG15" s="31" t="s">
        <v>1674</v>
      </c>
      <c r="AH15" s="31" t="s">
        <v>1675</v>
      </c>
      <c r="AI15" s="31" t="s">
        <v>155</v>
      </c>
      <c r="AJ15" s="31" t="s">
        <v>1509</v>
      </c>
      <c r="AK15" s="31" t="s">
        <v>157</v>
      </c>
      <c r="AL15" s="31" t="s">
        <v>282</v>
      </c>
      <c r="AM15" s="31" t="s">
        <v>159</v>
      </c>
      <c r="AN15" s="31" t="s">
        <v>1676</v>
      </c>
      <c r="AO15" s="31" t="s">
        <v>1677</v>
      </c>
      <c r="AP15" s="31" t="s">
        <v>1488</v>
      </c>
      <c r="AQ15" s="31" t="s">
        <v>162</v>
      </c>
      <c r="AR15" s="31">
        <v>15</v>
      </c>
      <c r="AS15" s="31">
        <v>23</v>
      </c>
      <c r="AT15" s="31">
        <v>5</v>
      </c>
      <c r="AU15" s="31">
        <v>27</v>
      </c>
      <c r="AV15" s="31">
        <v>750</v>
      </c>
      <c r="AW15" s="31">
        <v>900</v>
      </c>
      <c r="AX15" s="31">
        <v>300</v>
      </c>
      <c r="AY15" s="31">
        <v>1600</v>
      </c>
      <c r="AZ15" s="31">
        <v>6</v>
      </c>
      <c r="BA15" s="31">
        <v>7</v>
      </c>
      <c r="BB15" s="31">
        <v>5.5</v>
      </c>
      <c r="BC15" s="31">
        <v>8.5</v>
      </c>
      <c r="BD15" s="31">
        <v>30</v>
      </c>
      <c r="BE15" s="31"/>
      <c r="BF15" s="31">
        <v>60</v>
      </c>
      <c r="BG15" s="31">
        <v>65</v>
      </c>
      <c r="BH15" s="31">
        <v>4500</v>
      </c>
      <c r="BI15" s="31" t="s">
        <v>163</v>
      </c>
      <c r="BJ15" s="31" t="s">
        <v>163</v>
      </c>
      <c r="BK15" s="31" t="s">
        <v>165</v>
      </c>
      <c r="BL15" s="31" t="s">
        <v>163</v>
      </c>
      <c r="BM15" s="31" t="s">
        <v>166</v>
      </c>
      <c r="BN15" s="31" t="s">
        <v>201</v>
      </c>
      <c r="BO15" s="31" t="s">
        <v>167</v>
      </c>
      <c r="BP15" s="31" t="s">
        <v>168</v>
      </c>
      <c r="BQ15" s="31" t="s">
        <v>169</v>
      </c>
      <c r="BR15" s="31" t="s">
        <v>170</v>
      </c>
      <c r="BS15" s="31"/>
      <c r="BT15" s="31"/>
      <c r="BU15" s="31" t="s">
        <v>171</v>
      </c>
      <c r="BV15" s="31" t="s">
        <v>231</v>
      </c>
      <c r="BW15" s="31" t="s">
        <v>172</v>
      </c>
      <c r="BX15" s="31" t="s">
        <v>172</v>
      </c>
      <c r="BY15" s="31">
        <v>-20</v>
      </c>
      <c r="BZ15" s="31">
        <v>0</v>
      </c>
      <c r="CA15" s="31" t="s">
        <v>1511</v>
      </c>
      <c r="CB15" s="31" t="s">
        <v>790</v>
      </c>
      <c r="CC15" s="31"/>
      <c r="CD15" s="31"/>
      <c r="CE15" s="31"/>
      <c r="CF15" s="31" t="s">
        <v>850</v>
      </c>
      <c r="CG15" s="31">
        <v>90</v>
      </c>
      <c r="CH15" s="31">
        <v>250</v>
      </c>
      <c r="CI15" s="19">
        <v>0.6</v>
      </c>
      <c r="CJ15" s="19">
        <v>1.2</v>
      </c>
      <c r="CK15" s="19">
        <v>0.1</v>
      </c>
      <c r="CL15" s="19">
        <v>0.2</v>
      </c>
      <c r="CM15" s="17" t="s">
        <v>1557</v>
      </c>
      <c r="CN15" s="20">
        <v>1</v>
      </c>
      <c r="CO15" s="20">
        <v>10</v>
      </c>
      <c r="CP15" s="17" t="s">
        <v>1678</v>
      </c>
      <c r="CQ15" s="17" t="s">
        <v>209</v>
      </c>
      <c r="CR15" s="21">
        <v>3</v>
      </c>
      <c r="CS15" s="21">
        <v>1</v>
      </c>
      <c r="CT15" s="21">
        <v>1</v>
      </c>
      <c r="CU15" s="21">
        <v>1</v>
      </c>
      <c r="CV15" s="21">
        <v>1</v>
      </c>
      <c r="CW15" s="21">
        <v>0</v>
      </c>
      <c r="CX15" s="21">
        <v>1</v>
      </c>
      <c r="CY15" s="21">
        <v>2</v>
      </c>
      <c r="CZ15" s="21">
        <v>1</v>
      </c>
      <c r="DA15" s="21">
        <v>120</v>
      </c>
      <c r="DB15" s="21">
        <v>40</v>
      </c>
      <c r="DC15" s="21">
        <v>80</v>
      </c>
      <c r="DD15" s="21">
        <v>20</v>
      </c>
      <c r="DE15" s="21">
        <v>15</v>
      </c>
      <c r="DF15" s="21">
        <v>0</v>
      </c>
      <c r="DG15" s="21">
        <v>10</v>
      </c>
      <c r="DH15" s="21">
        <v>250</v>
      </c>
      <c r="DI15" s="21">
        <v>40</v>
      </c>
      <c r="DJ15" s="17" t="s">
        <v>1679</v>
      </c>
      <c r="DK15" s="17" t="s">
        <v>1495</v>
      </c>
      <c r="DL15" s="22">
        <v>100</v>
      </c>
      <c r="DM15" s="17" t="s">
        <v>1680</v>
      </c>
      <c r="DN15" s="24" t="s">
        <v>182</v>
      </c>
      <c r="DO15" s="23"/>
      <c r="DP15" s="23"/>
      <c r="DQ15" s="23"/>
      <c r="DR15" s="23"/>
      <c r="DS15" s="23"/>
      <c r="DT15" s="23"/>
      <c r="DU15" s="23"/>
      <c r="DV15" s="23"/>
      <c r="DW15" s="24" t="s">
        <v>182</v>
      </c>
      <c r="DX15" s="25" t="s">
        <v>183</v>
      </c>
      <c r="DY15" s="25" t="s">
        <v>183</v>
      </c>
      <c r="DZ15" s="17" t="s">
        <v>1681</v>
      </c>
      <c r="EA15" s="17" t="s">
        <v>1682</v>
      </c>
      <c r="EB15" s="48" t="s">
        <v>239</v>
      </c>
      <c r="EC15" s="17" t="s">
        <v>1499</v>
      </c>
      <c r="ED15" s="27" t="s">
        <v>1683</v>
      </c>
      <c r="EE15" s="22">
        <v>1</v>
      </c>
      <c r="EF15" s="9" t="s">
        <v>1684</v>
      </c>
    </row>
    <row r="16" spans="1:136" ht="15" customHeight="1" x14ac:dyDescent="0.25">
      <c r="A16" s="16" t="s">
        <v>1628</v>
      </c>
      <c r="B16" s="29" t="s">
        <v>1479</v>
      </c>
      <c r="C16" s="29" t="s">
        <v>1629</v>
      </c>
      <c r="D16" s="30">
        <v>350.1</v>
      </c>
      <c r="E16" s="30">
        <v>8.1999999999999993</v>
      </c>
      <c r="F16" s="30">
        <v>3.6</v>
      </c>
      <c r="G16" s="30">
        <v>65.8</v>
      </c>
      <c r="H16" s="30">
        <v>8.6</v>
      </c>
      <c r="I16" s="30">
        <v>10</v>
      </c>
      <c r="J16" s="30">
        <v>2.25</v>
      </c>
      <c r="K16" s="30">
        <v>124</v>
      </c>
      <c r="L16" s="30">
        <v>273</v>
      </c>
      <c r="M16" s="30">
        <v>363</v>
      </c>
      <c r="N16" s="30">
        <v>1</v>
      </c>
      <c r="O16" s="30">
        <v>1.35</v>
      </c>
      <c r="P16" s="30"/>
      <c r="Q16" s="30"/>
      <c r="R16" s="30">
        <v>15.5</v>
      </c>
      <c r="S16" s="30">
        <v>0</v>
      </c>
      <c r="T16" s="30">
        <v>0.4</v>
      </c>
      <c r="U16" s="30">
        <v>0</v>
      </c>
      <c r="V16" s="30">
        <v>0.4</v>
      </c>
      <c r="W16" s="30">
        <v>2.5000000000000001E-2</v>
      </c>
      <c r="X16" s="30">
        <v>4.05</v>
      </c>
      <c r="Y16" s="30">
        <v>0.1</v>
      </c>
      <c r="Z16" s="30">
        <v>0</v>
      </c>
      <c r="AA16" s="30">
        <v>20</v>
      </c>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2">
        <v>0.9</v>
      </c>
      <c r="CJ16" s="32">
        <v>3.5</v>
      </c>
      <c r="CK16" s="32">
        <v>0.2</v>
      </c>
      <c r="CL16" s="32">
        <v>0.5</v>
      </c>
      <c r="CM16" s="33" t="s">
        <v>1630</v>
      </c>
      <c r="CN16" s="34">
        <v>0.5</v>
      </c>
      <c r="CO16" s="34">
        <v>6</v>
      </c>
      <c r="CP16" s="35" t="s">
        <v>1631</v>
      </c>
      <c r="CQ16" s="35" t="s">
        <v>209</v>
      </c>
      <c r="CR16" s="36">
        <v>4</v>
      </c>
      <c r="CS16" s="36">
        <v>1</v>
      </c>
      <c r="CT16" s="36">
        <v>2</v>
      </c>
      <c r="CU16" s="36">
        <v>1</v>
      </c>
      <c r="CV16" s="36">
        <v>1</v>
      </c>
      <c r="CW16" s="36">
        <v>0</v>
      </c>
      <c r="CX16" s="36">
        <v>1</v>
      </c>
      <c r="CY16" s="36">
        <v>3</v>
      </c>
      <c r="CZ16" s="36">
        <v>2</v>
      </c>
      <c r="DA16" s="37">
        <v>130</v>
      </c>
      <c r="DB16" s="37">
        <v>50</v>
      </c>
      <c r="DC16" s="37">
        <v>120</v>
      </c>
      <c r="DD16" s="37">
        <v>20</v>
      </c>
      <c r="DE16" s="37">
        <v>15</v>
      </c>
      <c r="DF16" s="37">
        <v>0</v>
      </c>
      <c r="DG16" s="37">
        <v>10</v>
      </c>
      <c r="DH16" s="37">
        <v>250</v>
      </c>
      <c r="DI16" s="37">
        <v>50</v>
      </c>
      <c r="DJ16" s="38" t="s">
        <v>1632</v>
      </c>
      <c r="DK16" s="39" t="s">
        <v>1495</v>
      </c>
      <c r="DL16" s="40">
        <v>100</v>
      </c>
      <c r="DM16" s="39" t="s">
        <v>1633</v>
      </c>
      <c r="DN16" s="41"/>
      <c r="DO16" s="24" t="s">
        <v>182</v>
      </c>
      <c r="DP16" s="25" t="s">
        <v>183</v>
      </c>
      <c r="DQ16" s="25" t="s">
        <v>183</v>
      </c>
      <c r="DR16" s="25" t="s">
        <v>183</v>
      </c>
      <c r="DS16" s="24" t="s">
        <v>182</v>
      </c>
      <c r="DT16" s="41"/>
      <c r="DU16" s="41"/>
      <c r="DV16" s="41"/>
      <c r="DW16" s="41"/>
      <c r="DX16" s="41"/>
      <c r="DY16" s="41"/>
      <c r="DZ16" s="42" t="s">
        <v>1634</v>
      </c>
      <c r="EA16" s="42" t="s">
        <v>1635</v>
      </c>
      <c r="EB16" s="48" t="s">
        <v>239</v>
      </c>
      <c r="EC16" s="44" t="s">
        <v>1499</v>
      </c>
      <c r="ED16" s="45" t="s">
        <v>1518</v>
      </c>
      <c r="EE16" s="46">
        <v>1</v>
      </c>
      <c r="EF16" s="57" t="s">
        <v>1519</v>
      </c>
    </row>
    <row r="17" spans="1:136" ht="15" customHeight="1" x14ac:dyDescent="0.25">
      <c r="A17" s="16" t="s">
        <v>2444</v>
      </c>
      <c r="B17" s="17" t="s">
        <v>2325</v>
      </c>
      <c r="C17" s="17" t="s">
        <v>2445</v>
      </c>
      <c r="D17" s="18">
        <v>537.5</v>
      </c>
      <c r="E17" s="18">
        <v>30.2</v>
      </c>
      <c r="F17" s="18">
        <v>45</v>
      </c>
      <c r="G17" s="18">
        <v>2.1</v>
      </c>
      <c r="H17" s="18">
        <v>4.5999999999999996</v>
      </c>
      <c r="I17" s="18">
        <v>40</v>
      </c>
      <c r="J17" s="18">
        <v>8.5</v>
      </c>
      <c r="K17" s="18">
        <v>530</v>
      </c>
      <c r="L17" s="18">
        <v>1100</v>
      </c>
      <c r="M17" s="18">
        <v>700</v>
      </c>
      <c r="N17" s="18">
        <v>1</v>
      </c>
      <c r="O17" s="18">
        <v>6.5</v>
      </c>
      <c r="P17" s="18">
        <v>1.2</v>
      </c>
      <c r="Q17" s="18">
        <v>4.2</v>
      </c>
      <c r="R17" s="18">
        <v>15</v>
      </c>
      <c r="S17" s="18">
        <v>2</v>
      </c>
      <c r="T17" s="18">
        <v>4.58</v>
      </c>
      <c r="U17" s="18">
        <v>0</v>
      </c>
      <c r="V17" s="18">
        <v>0.17</v>
      </c>
      <c r="W17" s="18">
        <v>0.06</v>
      </c>
      <c r="X17" s="18">
        <v>3.3</v>
      </c>
      <c r="Y17" s="18">
        <v>0</v>
      </c>
      <c r="Z17" s="18">
        <v>0</v>
      </c>
      <c r="AA17" s="18">
        <v>34</v>
      </c>
      <c r="AB17" s="18">
        <v>819</v>
      </c>
      <c r="AC17" s="18" t="s">
        <v>1262</v>
      </c>
      <c r="AD17" s="18" t="s">
        <v>1263</v>
      </c>
      <c r="AE17" s="18" t="s">
        <v>501</v>
      </c>
      <c r="AF17" s="18"/>
      <c r="AG17" s="18" t="s">
        <v>1264</v>
      </c>
      <c r="AH17" s="18" t="s">
        <v>1265</v>
      </c>
      <c r="AI17" s="18" t="s">
        <v>155</v>
      </c>
      <c r="AJ17" s="18" t="s">
        <v>670</v>
      </c>
      <c r="AK17" s="18" t="s">
        <v>505</v>
      </c>
      <c r="AL17" s="18" t="s">
        <v>282</v>
      </c>
      <c r="AM17" s="18" t="s">
        <v>283</v>
      </c>
      <c r="AN17" s="18"/>
      <c r="AO17" s="18" t="s">
        <v>285</v>
      </c>
      <c r="AP17" s="18" t="s">
        <v>286</v>
      </c>
      <c r="AQ17" s="18" t="s">
        <v>162</v>
      </c>
      <c r="AR17" s="18">
        <v>20</v>
      </c>
      <c r="AS17" s="18">
        <v>30</v>
      </c>
      <c r="AT17" s="18">
        <v>9</v>
      </c>
      <c r="AU17" s="18">
        <v>38</v>
      </c>
      <c r="AV17" s="18">
        <v>600</v>
      </c>
      <c r="AW17" s="18">
        <v>1000</v>
      </c>
      <c r="AX17" s="18">
        <v>450</v>
      </c>
      <c r="AY17" s="18">
        <v>2700</v>
      </c>
      <c r="AZ17" s="18">
        <v>5.5</v>
      </c>
      <c r="BA17" s="18">
        <v>7.5</v>
      </c>
      <c r="BB17" s="18">
        <v>5</v>
      </c>
      <c r="BC17" s="18">
        <v>8.5</v>
      </c>
      <c r="BD17" s="18">
        <v>10</v>
      </c>
      <c r="BE17" s="18"/>
      <c r="BF17" s="18">
        <v>20</v>
      </c>
      <c r="BG17" s="18">
        <v>50</v>
      </c>
      <c r="BH17" s="18">
        <v>2000</v>
      </c>
      <c r="BI17" s="18" t="s">
        <v>163</v>
      </c>
      <c r="BJ17" s="18" t="s">
        <v>163</v>
      </c>
      <c r="BK17" s="18" t="s">
        <v>163</v>
      </c>
      <c r="BL17" s="18" t="s">
        <v>165</v>
      </c>
      <c r="BM17" s="18" t="s">
        <v>288</v>
      </c>
      <c r="BN17" s="18" t="s">
        <v>201</v>
      </c>
      <c r="BO17" s="18" t="s">
        <v>567</v>
      </c>
      <c r="BP17" s="18" t="s">
        <v>203</v>
      </c>
      <c r="BQ17" s="18" t="s">
        <v>169</v>
      </c>
      <c r="BR17" s="18" t="s">
        <v>230</v>
      </c>
      <c r="BS17" s="18"/>
      <c r="BT17" s="18"/>
      <c r="BU17" s="18" t="s">
        <v>171</v>
      </c>
      <c r="BV17" s="18" t="s">
        <v>171</v>
      </c>
      <c r="BW17" s="18" t="s">
        <v>172</v>
      </c>
      <c r="BX17" s="18" t="s">
        <v>172</v>
      </c>
      <c r="BY17" s="18"/>
      <c r="BZ17" s="18"/>
      <c r="CA17" s="18" t="s">
        <v>173</v>
      </c>
      <c r="CB17" s="18" t="s">
        <v>232</v>
      </c>
      <c r="CC17" s="18"/>
      <c r="CD17" s="18"/>
      <c r="CE17" s="18"/>
      <c r="CF17" s="18" t="s">
        <v>206</v>
      </c>
      <c r="CG17" s="18">
        <v>80</v>
      </c>
      <c r="CH17" s="18">
        <v>140</v>
      </c>
      <c r="CI17" s="32">
        <v>0.3</v>
      </c>
      <c r="CJ17" s="32">
        <v>0.6</v>
      </c>
      <c r="CK17" s="32">
        <v>3</v>
      </c>
      <c r="CL17" s="32">
        <v>8</v>
      </c>
      <c r="CM17" s="33" t="s">
        <v>2446</v>
      </c>
      <c r="CN17" s="34">
        <v>0.3</v>
      </c>
      <c r="CO17" s="34">
        <v>1.5</v>
      </c>
      <c r="CP17" s="35" t="s">
        <v>2447</v>
      </c>
      <c r="CQ17" s="35" t="s">
        <v>1964</v>
      </c>
      <c r="CR17" s="36">
        <v>4</v>
      </c>
      <c r="CS17" s="36">
        <v>3</v>
      </c>
      <c r="CT17" s="36">
        <v>4</v>
      </c>
      <c r="CU17" s="36">
        <v>2</v>
      </c>
      <c r="CV17" s="36">
        <v>2</v>
      </c>
      <c r="CW17" s="36">
        <v>0</v>
      </c>
      <c r="CX17" s="36">
        <v>3</v>
      </c>
      <c r="CY17" s="36">
        <v>10</v>
      </c>
      <c r="CZ17" s="36">
        <v>8</v>
      </c>
      <c r="DA17" s="37">
        <v>130</v>
      </c>
      <c r="DB17" s="37">
        <v>60</v>
      </c>
      <c r="DC17" s="37">
        <v>130</v>
      </c>
      <c r="DD17" s="37">
        <v>20</v>
      </c>
      <c r="DE17" s="37">
        <v>15</v>
      </c>
      <c r="DF17" s="37">
        <v>0</v>
      </c>
      <c r="DG17" s="37">
        <v>30</v>
      </c>
      <c r="DH17" s="37">
        <v>250</v>
      </c>
      <c r="DI17" s="37">
        <v>150</v>
      </c>
      <c r="DJ17" s="38" t="s">
        <v>2448</v>
      </c>
      <c r="DK17" s="39" t="s">
        <v>1979</v>
      </c>
      <c r="DL17" s="40">
        <v>30</v>
      </c>
      <c r="DM17" s="39" t="s">
        <v>2449</v>
      </c>
      <c r="DN17" s="41"/>
      <c r="DO17" s="24" t="s">
        <v>182</v>
      </c>
      <c r="DP17" s="25" t="s">
        <v>183</v>
      </c>
      <c r="DQ17" s="25" t="s">
        <v>183</v>
      </c>
      <c r="DR17" s="25" t="s">
        <v>183</v>
      </c>
      <c r="DS17" s="24" t="s">
        <v>182</v>
      </c>
      <c r="DT17" s="41"/>
      <c r="DU17" s="41"/>
      <c r="DV17" s="41"/>
      <c r="DW17" s="41"/>
      <c r="DX17" s="41"/>
      <c r="DY17" s="41"/>
      <c r="DZ17" s="42" t="s">
        <v>2450</v>
      </c>
      <c r="EA17" s="42" t="s">
        <v>2451</v>
      </c>
      <c r="EB17" s="26" t="s">
        <v>186</v>
      </c>
      <c r="EC17" s="44" t="s">
        <v>2351</v>
      </c>
      <c r="ED17" s="45" t="s">
        <v>241</v>
      </c>
      <c r="EE17" s="46">
        <v>3</v>
      </c>
      <c r="EF17" s="50" t="s">
        <v>2058</v>
      </c>
    </row>
    <row r="18" spans="1:136" ht="15" customHeight="1" x14ac:dyDescent="0.25">
      <c r="A18" s="16" t="s">
        <v>243</v>
      </c>
      <c r="B18" s="17" t="s">
        <v>244</v>
      </c>
      <c r="C18" s="17" t="s">
        <v>245</v>
      </c>
      <c r="D18" s="18">
        <v>124.8</v>
      </c>
      <c r="E18" s="18">
        <v>6.1</v>
      </c>
      <c r="F18" s="18">
        <v>2.8</v>
      </c>
      <c r="G18" s="18">
        <v>10.199999999999999</v>
      </c>
      <c r="H18" s="18">
        <v>16.899999999999999</v>
      </c>
      <c r="I18" s="18">
        <v>30</v>
      </c>
      <c r="J18" s="18">
        <v>1.7</v>
      </c>
      <c r="K18" s="18">
        <v>25</v>
      </c>
      <c r="L18" s="18">
        <v>32</v>
      </c>
      <c r="M18" s="18">
        <v>510</v>
      </c>
      <c r="N18" s="18">
        <v>8</v>
      </c>
      <c r="O18" s="18">
        <v>1</v>
      </c>
      <c r="P18" s="18"/>
      <c r="Q18" s="18"/>
      <c r="R18" s="18">
        <v>14.2</v>
      </c>
      <c r="S18" s="18">
        <v>2</v>
      </c>
      <c r="T18" s="18">
        <v>0.08</v>
      </c>
      <c r="U18" s="18">
        <v>11</v>
      </c>
      <c r="V18" s="18">
        <v>0.09</v>
      </c>
      <c r="W18" s="18">
        <v>0.06</v>
      </c>
      <c r="X18" s="18">
        <v>0.8</v>
      </c>
      <c r="Y18" s="18">
        <v>1.24</v>
      </c>
      <c r="Z18" s="18">
        <v>0</v>
      </c>
      <c r="AA18" s="18">
        <v>3</v>
      </c>
      <c r="AB18" s="18">
        <v>367</v>
      </c>
      <c r="AC18" s="18" t="s">
        <v>246</v>
      </c>
      <c r="AD18" s="18" t="s">
        <v>221</v>
      </c>
      <c r="AE18" s="18" t="s">
        <v>222</v>
      </c>
      <c r="AF18" s="18" t="s">
        <v>247</v>
      </c>
      <c r="AG18" s="18" t="s">
        <v>248</v>
      </c>
      <c r="AH18" s="18" t="s">
        <v>249</v>
      </c>
      <c r="AI18" s="18" t="s">
        <v>155</v>
      </c>
      <c r="AJ18" s="18" t="s">
        <v>156</v>
      </c>
      <c r="AK18" s="18" t="s">
        <v>157</v>
      </c>
      <c r="AL18" s="18" t="s">
        <v>227</v>
      </c>
      <c r="AM18" s="18"/>
      <c r="AN18" s="18" t="s">
        <v>160</v>
      </c>
      <c r="AO18" s="18" t="s">
        <v>228</v>
      </c>
      <c r="AP18" s="18" t="s">
        <v>161</v>
      </c>
      <c r="AQ18" s="18" t="s">
        <v>162</v>
      </c>
      <c r="AR18" s="18">
        <v>18</v>
      </c>
      <c r="AS18" s="18">
        <v>30</v>
      </c>
      <c r="AT18" s="18">
        <v>7</v>
      </c>
      <c r="AU18" s="18">
        <v>35</v>
      </c>
      <c r="AV18" s="18">
        <v>750</v>
      </c>
      <c r="AW18" s="18">
        <v>1600</v>
      </c>
      <c r="AX18" s="18">
        <v>500</v>
      </c>
      <c r="AY18" s="18">
        <v>2700</v>
      </c>
      <c r="AZ18" s="18">
        <v>6</v>
      </c>
      <c r="BA18" s="18">
        <v>6.6</v>
      </c>
      <c r="BB18" s="18">
        <v>5</v>
      </c>
      <c r="BC18" s="18">
        <v>8.5</v>
      </c>
      <c r="BD18" s="18"/>
      <c r="BE18" s="18"/>
      <c r="BF18" s="18">
        <v>60</v>
      </c>
      <c r="BG18" s="18">
        <v>60</v>
      </c>
      <c r="BH18" s="18">
        <v>2200</v>
      </c>
      <c r="BI18" s="18" t="s">
        <v>164</v>
      </c>
      <c r="BJ18" s="18" t="s">
        <v>164</v>
      </c>
      <c r="BK18" s="18" t="s">
        <v>163</v>
      </c>
      <c r="BL18" s="18" t="s">
        <v>165</v>
      </c>
      <c r="BM18" s="18" t="s">
        <v>166</v>
      </c>
      <c r="BN18" s="18" t="s">
        <v>201</v>
      </c>
      <c r="BO18" s="18" t="s">
        <v>250</v>
      </c>
      <c r="BP18" s="18" t="s">
        <v>203</v>
      </c>
      <c r="BQ18" s="18" t="s">
        <v>169</v>
      </c>
      <c r="BR18" s="18" t="s">
        <v>230</v>
      </c>
      <c r="BS18" s="18"/>
      <c r="BT18" s="18"/>
      <c r="BU18" s="18" t="s">
        <v>171</v>
      </c>
      <c r="BV18" s="18" t="s">
        <v>171</v>
      </c>
      <c r="BW18" s="18" t="s">
        <v>172</v>
      </c>
      <c r="BX18" s="18" t="s">
        <v>172</v>
      </c>
      <c r="BY18" s="18">
        <v>-5</v>
      </c>
      <c r="BZ18" s="18">
        <v>-5</v>
      </c>
      <c r="CA18" s="18" t="s">
        <v>204</v>
      </c>
      <c r="CB18" s="18" t="s">
        <v>251</v>
      </c>
      <c r="CC18" s="18"/>
      <c r="CD18" s="18" t="s">
        <v>252</v>
      </c>
      <c r="CE18" s="18"/>
      <c r="CF18" s="18" t="s">
        <v>206</v>
      </c>
      <c r="CG18" s="18">
        <v>90</v>
      </c>
      <c r="CH18" s="18">
        <v>120</v>
      </c>
      <c r="CI18" s="32">
        <v>0.3</v>
      </c>
      <c r="CJ18" s="32">
        <v>0.8</v>
      </c>
      <c r="CK18" s="32">
        <v>0.1</v>
      </c>
      <c r="CL18" s="32">
        <v>0.2</v>
      </c>
      <c r="CM18" s="33" t="s">
        <v>253</v>
      </c>
      <c r="CN18" s="34">
        <v>5</v>
      </c>
      <c r="CO18" s="34">
        <v>20</v>
      </c>
      <c r="CP18" s="35" t="s">
        <v>254</v>
      </c>
      <c r="CQ18" s="35" t="s">
        <v>209</v>
      </c>
      <c r="CR18" s="36">
        <v>5</v>
      </c>
      <c r="CS18" s="36">
        <v>8</v>
      </c>
      <c r="CT18" s="36">
        <v>10</v>
      </c>
      <c r="CU18" s="36">
        <v>3</v>
      </c>
      <c r="CV18" s="36">
        <v>4</v>
      </c>
      <c r="CW18" s="36">
        <v>0</v>
      </c>
      <c r="CX18" s="36">
        <v>4</v>
      </c>
      <c r="CY18" s="36">
        <v>12</v>
      </c>
      <c r="CZ18" s="36">
        <v>10</v>
      </c>
      <c r="DA18" s="37">
        <v>140</v>
      </c>
      <c r="DB18" s="37">
        <v>200</v>
      </c>
      <c r="DC18" s="37">
        <v>280</v>
      </c>
      <c r="DD18" s="37">
        <v>30</v>
      </c>
      <c r="DE18" s="37">
        <v>35</v>
      </c>
      <c r="DF18" s="37">
        <v>0</v>
      </c>
      <c r="DG18" s="37">
        <v>40</v>
      </c>
      <c r="DH18" s="37">
        <v>350</v>
      </c>
      <c r="DI18" s="37">
        <v>200</v>
      </c>
      <c r="DJ18" s="38" t="s">
        <v>255</v>
      </c>
      <c r="DK18" s="39" t="s">
        <v>180</v>
      </c>
      <c r="DL18" s="40">
        <v>75</v>
      </c>
      <c r="DM18" s="39" t="s">
        <v>256</v>
      </c>
      <c r="DN18" s="25" t="s">
        <v>183</v>
      </c>
      <c r="DO18" s="24" t="s">
        <v>182</v>
      </c>
      <c r="DP18" s="41"/>
      <c r="DQ18" s="41"/>
      <c r="DR18" s="41"/>
      <c r="DS18" s="41"/>
      <c r="DT18" s="41"/>
      <c r="DU18" s="41"/>
      <c r="DV18" s="41"/>
      <c r="DW18" s="24" t="s">
        <v>182</v>
      </c>
      <c r="DX18" s="25" t="s">
        <v>183</v>
      </c>
      <c r="DY18" s="25" t="s">
        <v>183</v>
      </c>
      <c r="DZ18" s="42" t="s">
        <v>257</v>
      </c>
      <c r="EA18" s="42" t="s">
        <v>258</v>
      </c>
      <c r="EB18" s="48" t="s">
        <v>239</v>
      </c>
      <c r="EC18" s="44" t="s">
        <v>259</v>
      </c>
      <c r="ED18" s="45" t="s">
        <v>241</v>
      </c>
      <c r="EE18" s="46">
        <v>3</v>
      </c>
      <c r="EF18" s="50" t="s">
        <v>260</v>
      </c>
    </row>
    <row r="19" spans="1:136" ht="15" customHeight="1" x14ac:dyDescent="0.25">
      <c r="A19" s="16" t="s">
        <v>1637</v>
      </c>
      <c r="B19" s="17" t="s">
        <v>1479</v>
      </c>
      <c r="C19" s="17" t="s">
        <v>1638</v>
      </c>
      <c r="D19" s="18">
        <v>331.7</v>
      </c>
      <c r="E19" s="18">
        <v>11.7</v>
      </c>
      <c r="F19" s="18">
        <v>3</v>
      </c>
      <c r="G19" s="18">
        <v>59.2</v>
      </c>
      <c r="H19" s="18">
        <v>8.8000000000000007</v>
      </c>
      <c r="I19" s="18">
        <v>21</v>
      </c>
      <c r="J19" s="18">
        <v>2.8</v>
      </c>
      <c r="K19" s="18">
        <v>122</v>
      </c>
      <c r="L19" s="18">
        <v>323</v>
      </c>
      <c r="M19" s="18">
        <v>330</v>
      </c>
      <c r="N19" s="18">
        <v>3</v>
      </c>
      <c r="O19" s="18">
        <v>1.9</v>
      </c>
      <c r="P19" s="18">
        <v>0.65</v>
      </c>
      <c r="Q19" s="18">
        <v>3.7</v>
      </c>
      <c r="R19" s="18">
        <v>14</v>
      </c>
      <c r="S19" s="18">
        <v>0</v>
      </c>
      <c r="T19" s="18">
        <v>0.71</v>
      </c>
      <c r="U19" s="18">
        <v>0</v>
      </c>
      <c r="V19" s="18">
        <v>0.42</v>
      </c>
      <c r="W19" s="18">
        <v>0.03</v>
      </c>
      <c r="X19" s="18">
        <v>7.3</v>
      </c>
      <c r="Y19" s="18">
        <v>0.2</v>
      </c>
      <c r="Z19" s="18">
        <v>0</v>
      </c>
      <c r="AA19" s="18">
        <v>75</v>
      </c>
      <c r="AB19" s="18">
        <v>10591</v>
      </c>
      <c r="AC19" s="18" t="s">
        <v>1639</v>
      </c>
      <c r="AD19" s="18" t="s">
        <v>221</v>
      </c>
      <c r="AE19" s="18" t="s">
        <v>1505</v>
      </c>
      <c r="AF19" s="18"/>
      <c r="AG19" s="18" t="s">
        <v>1640</v>
      </c>
      <c r="AH19" s="18" t="s">
        <v>1641</v>
      </c>
      <c r="AI19" s="18" t="s">
        <v>226</v>
      </c>
      <c r="AJ19" s="18" t="s">
        <v>1509</v>
      </c>
      <c r="AK19" s="18" t="s">
        <v>157</v>
      </c>
      <c r="AL19" s="18" t="s">
        <v>282</v>
      </c>
      <c r="AM19" s="18" t="s">
        <v>159</v>
      </c>
      <c r="AN19" s="18"/>
      <c r="AO19" s="18" t="s">
        <v>1642</v>
      </c>
      <c r="AP19" s="18" t="s">
        <v>1488</v>
      </c>
      <c r="AQ19" s="18" t="s">
        <v>362</v>
      </c>
      <c r="AR19" s="18">
        <v>10</v>
      </c>
      <c r="AS19" s="18">
        <v>17</v>
      </c>
      <c r="AT19" s="18">
        <v>4</v>
      </c>
      <c r="AU19" s="18">
        <v>24</v>
      </c>
      <c r="AV19" s="18">
        <v>700</v>
      </c>
      <c r="AW19" s="18">
        <v>1000</v>
      </c>
      <c r="AX19" s="18">
        <v>300</v>
      </c>
      <c r="AY19" s="18">
        <v>1600</v>
      </c>
      <c r="AZ19" s="18">
        <v>6.5</v>
      </c>
      <c r="BA19" s="18">
        <v>7.5</v>
      </c>
      <c r="BB19" s="18">
        <v>5</v>
      </c>
      <c r="BC19" s="18">
        <v>8.3000000000000007</v>
      </c>
      <c r="BD19" s="18"/>
      <c r="BE19" s="18"/>
      <c r="BF19" s="18"/>
      <c r="BG19" s="18"/>
      <c r="BH19" s="18"/>
      <c r="BI19" s="18" t="s">
        <v>163</v>
      </c>
      <c r="BJ19" s="18" t="s">
        <v>164</v>
      </c>
      <c r="BK19" s="18" t="s">
        <v>163</v>
      </c>
      <c r="BL19" s="18" t="s">
        <v>165</v>
      </c>
      <c r="BM19" s="18" t="s">
        <v>166</v>
      </c>
      <c r="BN19" s="18" t="s">
        <v>201</v>
      </c>
      <c r="BO19" s="18" t="s">
        <v>1438</v>
      </c>
      <c r="BP19" s="18" t="s">
        <v>250</v>
      </c>
      <c r="BQ19" s="18" t="s">
        <v>170</v>
      </c>
      <c r="BR19" s="18" t="s">
        <v>170</v>
      </c>
      <c r="BS19" s="18"/>
      <c r="BT19" s="18"/>
      <c r="BU19" s="18" t="s">
        <v>171</v>
      </c>
      <c r="BV19" s="18" t="s">
        <v>171</v>
      </c>
      <c r="BW19" s="18" t="s">
        <v>172</v>
      </c>
      <c r="BX19" s="18" t="s">
        <v>290</v>
      </c>
      <c r="BY19" s="18"/>
      <c r="BZ19" s="18"/>
      <c r="CA19" s="18" t="s">
        <v>204</v>
      </c>
      <c r="CB19" s="18" t="s">
        <v>688</v>
      </c>
      <c r="CC19" s="18"/>
      <c r="CD19" s="18"/>
      <c r="CE19" s="18"/>
      <c r="CF19" s="18"/>
      <c r="CG19" s="18">
        <v>120</v>
      </c>
      <c r="CH19" s="18">
        <v>180</v>
      </c>
      <c r="CI19" s="32">
        <v>0.9</v>
      </c>
      <c r="CJ19" s="32">
        <v>1.5</v>
      </c>
      <c r="CK19" s="32">
        <v>0.1</v>
      </c>
      <c r="CL19" s="32">
        <v>0.2</v>
      </c>
      <c r="CM19" s="33" t="s">
        <v>1643</v>
      </c>
      <c r="CN19" s="34">
        <v>2</v>
      </c>
      <c r="CO19" s="34">
        <v>6</v>
      </c>
      <c r="CP19" s="35" t="s">
        <v>1644</v>
      </c>
      <c r="CQ19" s="35" t="s">
        <v>209</v>
      </c>
      <c r="CR19" s="36">
        <v>3</v>
      </c>
      <c r="CS19" s="36">
        <v>1</v>
      </c>
      <c r="CT19" s="36">
        <v>2</v>
      </c>
      <c r="CU19" s="36">
        <v>1</v>
      </c>
      <c r="CV19" s="36">
        <v>1</v>
      </c>
      <c r="CW19" s="36">
        <v>0</v>
      </c>
      <c r="CX19" s="36">
        <v>0</v>
      </c>
      <c r="CY19" s="36">
        <v>3</v>
      </c>
      <c r="CZ19" s="36">
        <v>2</v>
      </c>
      <c r="DA19" s="37">
        <v>120</v>
      </c>
      <c r="DB19" s="37">
        <v>40</v>
      </c>
      <c r="DC19" s="37">
        <v>90</v>
      </c>
      <c r="DD19" s="37">
        <v>15</v>
      </c>
      <c r="DE19" s="37">
        <v>10</v>
      </c>
      <c r="DF19" s="37">
        <v>0</v>
      </c>
      <c r="DG19" s="37">
        <v>0</v>
      </c>
      <c r="DH19" s="37">
        <v>220</v>
      </c>
      <c r="DI19" s="37">
        <v>40</v>
      </c>
      <c r="DJ19" s="38" t="s">
        <v>1645</v>
      </c>
      <c r="DK19" s="39" t="s">
        <v>1495</v>
      </c>
      <c r="DL19" s="40">
        <v>100</v>
      </c>
      <c r="DM19" s="39" t="s">
        <v>1646</v>
      </c>
      <c r="DN19" s="24" t="s">
        <v>182</v>
      </c>
      <c r="DO19" s="41"/>
      <c r="DP19" s="41"/>
      <c r="DQ19" s="41"/>
      <c r="DR19" s="41"/>
      <c r="DS19" s="41"/>
      <c r="DT19" s="41"/>
      <c r="DU19" s="41"/>
      <c r="DV19" s="41"/>
      <c r="DW19" s="24" t="s">
        <v>182</v>
      </c>
      <c r="DX19" s="25" t="s">
        <v>183</v>
      </c>
      <c r="DY19" s="25" t="s">
        <v>183</v>
      </c>
      <c r="DZ19" s="42" t="s">
        <v>1647</v>
      </c>
      <c r="EA19" s="42" t="s">
        <v>1648</v>
      </c>
      <c r="EB19" s="48" t="s">
        <v>239</v>
      </c>
      <c r="EC19" s="44" t="s">
        <v>1499</v>
      </c>
      <c r="ED19" s="45" t="s">
        <v>1518</v>
      </c>
      <c r="EE19" s="46">
        <v>1</v>
      </c>
      <c r="EF19" s="57" t="s">
        <v>1519</v>
      </c>
    </row>
    <row r="20" spans="1:136" ht="15" customHeight="1" x14ac:dyDescent="0.25">
      <c r="A20" s="16" t="s">
        <v>1579</v>
      </c>
      <c r="B20" s="29" t="s">
        <v>1479</v>
      </c>
      <c r="C20" s="29" t="s">
        <v>1580</v>
      </c>
      <c r="D20" s="30">
        <v>347</v>
      </c>
      <c r="E20" s="30">
        <v>7.6</v>
      </c>
      <c r="F20" s="30">
        <v>3.1</v>
      </c>
      <c r="G20" s="30">
        <v>69.099999999999994</v>
      </c>
      <c r="H20" s="30">
        <v>3.5</v>
      </c>
      <c r="I20" s="30">
        <v>7</v>
      </c>
      <c r="J20" s="30">
        <v>0.8</v>
      </c>
      <c r="K20" s="30">
        <v>119</v>
      </c>
      <c r="L20" s="30">
        <v>314</v>
      </c>
      <c r="M20" s="30">
        <v>230</v>
      </c>
      <c r="N20" s="30">
        <v>2</v>
      </c>
      <c r="O20" s="30">
        <v>1.7</v>
      </c>
      <c r="P20" s="30">
        <v>0.3</v>
      </c>
      <c r="Q20" s="30">
        <v>4.7</v>
      </c>
      <c r="R20" s="30">
        <v>14</v>
      </c>
      <c r="S20" s="30">
        <v>0</v>
      </c>
      <c r="T20" s="30">
        <v>1.31</v>
      </c>
      <c r="U20" s="30">
        <v>0</v>
      </c>
      <c r="V20" s="30">
        <v>0.37</v>
      </c>
      <c r="W20" s="30">
        <v>0.01</v>
      </c>
      <c r="X20" s="30">
        <v>5.8</v>
      </c>
      <c r="Y20" s="30">
        <v>0.2</v>
      </c>
      <c r="Z20" s="30">
        <v>0</v>
      </c>
      <c r="AA20" s="30">
        <v>37</v>
      </c>
      <c r="AB20" s="31">
        <v>1574</v>
      </c>
      <c r="AC20" s="31" t="s">
        <v>1581</v>
      </c>
      <c r="AD20" s="31" t="s">
        <v>221</v>
      </c>
      <c r="AE20" s="31" t="s">
        <v>1505</v>
      </c>
      <c r="AF20" s="31"/>
      <c r="AG20" s="31" t="s">
        <v>1582</v>
      </c>
      <c r="AH20" s="31" t="s">
        <v>1583</v>
      </c>
      <c r="AI20" s="31" t="s">
        <v>226</v>
      </c>
      <c r="AJ20" s="31" t="s">
        <v>1509</v>
      </c>
      <c r="AK20" s="31" t="s">
        <v>157</v>
      </c>
      <c r="AL20" s="31" t="s">
        <v>282</v>
      </c>
      <c r="AM20" s="31" t="s">
        <v>283</v>
      </c>
      <c r="AN20" s="31" t="s">
        <v>1584</v>
      </c>
      <c r="AO20" s="31" t="s">
        <v>1488</v>
      </c>
      <c r="AP20" s="31" t="s">
        <v>1488</v>
      </c>
      <c r="AQ20" s="31" t="s">
        <v>162</v>
      </c>
      <c r="AR20" s="31">
        <v>20</v>
      </c>
      <c r="AS20" s="31">
        <v>30</v>
      </c>
      <c r="AT20" s="31">
        <v>10</v>
      </c>
      <c r="AU20" s="31">
        <v>36</v>
      </c>
      <c r="AV20" s="31">
        <v>1500</v>
      </c>
      <c r="AW20" s="31">
        <v>2000</v>
      </c>
      <c r="AX20" s="31">
        <v>1000</v>
      </c>
      <c r="AY20" s="31">
        <v>4000</v>
      </c>
      <c r="AZ20" s="31">
        <v>5.5</v>
      </c>
      <c r="BA20" s="31">
        <v>7</v>
      </c>
      <c r="BB20" s="31">
        <v>4.5</v>
      </c>
      <c r="BC20" s="31">
        <v>9</v>
      </c>
      <c r="BD20" s="31"/>
      <c r="BE20" s="31"/>
      <c r="BF20" s="31">
        <v>36</v>
      </c>
      <c r="BG20" s="31">
        <v>55</v>
      </c>
      <c r="BH20" s="31">
        <v>2500</v>
      </c>
      <c r="BI20" s="31" t="s">
        <v>163</v>
      </c>
      <c r="BJ20" s="31" t="s">
        <v>163</v>
      </c>
      <c r="BK20" s="31" t="s">
        <v>165</v>
      </c>
      <c r="BL20" s="31" t="s">
        <v>163</v>
      </c>
      <c r="BM20" s="31" t="s">
        <v>166</v>
      </c>
      <c r="BN20" s="31" t="s">
        <v>201</v>
      </c>
      <c r="BO20" s="31" t="s">
        <v>1585</v>
      </c>
      <c r="BP20" s="31" t="s">
        <v>1585</v>
      </c>
      <c r="BQ20" s="31" t="s">
        <v>169</v>
      </c>
      <c r="BR20" s="31" t="s">
        <v>170</v>
      </c>
      <c r="BS20" s="31"/>
      <c r="BT20" s="31"/>
      <c r="BU20" s="31" t="s">
        <v>171</v>
      </c>
      <c r="BV20" s="31" t="s">
        <v>171</v>
      </c>
      <c r="BW20" s="31" t="s">
        <v>1586</v>
      </c>
      <c r="BX20" s="31" t="s">
        <v>1586</v>
      </c>
      <c r="BY20" s="31"/>
      <c r="BZ20" s="31"/>
      <c r="CA20" s="31" t="s">
        <v>1587</v>
      </c>
      <c r="CB20" s="31" t="s">
        <v>583</v>
      </c>
      <c r="CC20" s="31"/>
      <c r="CD20" s="31"/>
      <c r="CE20" s="31"/>
      <c r="CF20" s="31" t="s">
        <v>1588</v>
      </c>
      <c r="CG20" s="31">
        <v>80</v>
      </c>
      <c r="CH20" s="31">
        <v>180</v>
      </c>
      <c r="CI20" s="32">
        <v>0.8</v>
      </c>
      <c r="CJ20" s="32">
        <v>1.8</v>
      </c>
      <c r="CK20" s="32">
        <v>0.1</v>
      </c>
      <c r="CL20" s="32">
        <v>0.3</v>
      </c>
      <c r="CM20" s="33" t="s">
        <v>1557</v>
      </c>
      <c r="CN20" s="34">
        <v>1.5</v>
      </c>
      <c r="CO20" s="34">
        <v>10</v>
      </c>
      <c r="CP20" s="35" t="s">
        <v>1589</v>
      </c>
      <c r="CQ20" s="35" t="s">
        <v>209</v>
      </c>
      <c r="CR20" s="36">
        <v>8</v>
      </c>
      <c r="CS20" s="36">
        <v>5</v>
      </c>
      <c r="CT20" s="36">
        <v>5</v>
      </c>
      <c r="CU20" s="36">
        <v>2</v>
      </c>
      <c r="CV20" s="36">
        <v>2</v>
      </c>
      <c r="CW20" s="36">
        <v>0</v>
      </c>
      <c r="CX20" s="36">
        <v>5</v>
      </c>
      <c r="CY20" s="36">
        <v>8</v>
      </c>
      <c r="CZ20" s="36">
        <v>5</v>
      </c>
      <c r="DA20" s="37">
        <v>180</v>
      </c>
      <c r="DB20" s="37">
        <v>200</v>
      </c>
      <c r="DC20" s="37">
        <v>250</v>
      </c>
      <c r="DD20" s="37">
        <v>30</v>
      </c>
      <c r="DE20" s="37">
        <v>20</v>
      </c>
      <c r="DF20" s="37">
        <v>0</v>
      </c>
      <c r="DG20" s="37">
        <v>60</v>
      </c>
      <c r="DH20" s="37">
        <v>350</v>
      </c>
      <c r="DI20" s="37">
        <v>80</v>
      </c>
      <c r="DJ20" s="38" t="s">
        <v>1590</v>
      </c>
      <c r="DK20" s="39" t="s">
        <v>1495</v>
      </c>
      <c r="DL20" s="40">
        <v>100</v>
      </c>
      <c r="DM20" s="39" t="s">
        <v>1591</v>
      </c>
      <c r="DN20" s="41"/>
      <c r="DO20" s="24" t="s">
        <v>182</v>
      </c>
      <c r="DP20" s="25" t="s">
        <v>183</v>
      </c>
      <c r="DQ20" s="25" t="s">
        <v>183</v>
      </c>
      <c r="DR20" s="24" t="s">
        <v>182</v>
      </c>
      <c r="DS20" s="41"/>
      <c r="DT20" s="41"/>
      <c r="DU20" s="41"/>
      <c r="DV20" s="41"/>
      <c r="DW20" s="41"/>
      <c r="DX20" s="41"/>
      <c r="DY20" s="41"/>
      <c r="DZ20" s="42" t="s">
        <v>1592</v>
      </c>
      <c r="EA20" s="42" t="s">
        <v>1593</v>
      </c>
      <c r="EB20" s="26" t="s">
        <v>186</v>
      </c>
      <c r="EC20" s="44" t="s">
        <v>1594</v>
      </c>
      <c r="ED20" s="45" t="s">
        <v>1595</v>
      </c>
      <c r="EE20" s="46">
        <v>1</v>
      </c>
      <c r="EF20" s="50" t="s">
        <v>1596</v>
      </c>
    </row>
    <row r="21" spans="1:136" ht="15" customHeight="1" x14ac:dyDescent="0.25">
      <c r="A21" s="16" t="s">
        <v>1597</v>
      </c>
      <c r="B21" s="17" t="s">
        <v>1479</v>
      </c>
      <c r="C21" s="17" t="s">
        <v>1598</v>
      </c>
      <c r="D21" s="18">
        <v>339.9</v>
      </c>
      <c r="E21" s="18">
        <v>7</v>
      </c>
      <c r="F21" s="18">
        <v>0.9</v>
      </c>
      <c r="G21" s="18">
        <v>74</v>
      </c>
      <c r="H21" s="18">
        <v>0.8</v>
      </c>
      <c r="I21" s="18">
        <v>4</v>
      </c>
      <c r="J21" s="18">
        <v>0.2</v>
      </c>
      <c r="K21" s="18">
        <v>20</v>
      </c>
      <c r="L21" s="18">
        <v>90</v>
      </c>
      <c r="M21" s="18">
        <v>58</v>
      </c>
      <c r="N21" s="18">
        <v>1</v>
      </c>
      <c r="O21" s="18">
        <v>1.2</v>
      </c>
      <c r="P21" s="18">
        <v>0.2</v>
      </c>
      <c r="Q21" s="18">
        <v>1.6</v>
      </c>
      <c r="R21" s="18">
        <v>14</v>
      </c>
      <c r="S21" s="18">
        <v>0</v>
      </c>
      <c r="T21" s="18">
        <v>0</v>
      </c>
      <c r="U21" s="18">
        <v>0</v>
      </c>
      <c r="V21" s="18">
        <v>0.05</v>
      </c>
      <c r="W21" s="18">
        <v>0</v>
      </c>
      <c r="X21" s="18">
        <v>1.2</v>
      </c>
      <c r="Y21" s="18">
        <v>0.1</v>
      </c>
      <c r="Z21" s="18">
        <v>0</v>
      </c>
      <c r="AA21" s="18">
        <v>20</v>
      </c>
      <c r="AB21" s="18">
        <v>1574</v>
      </c>
      <c r="AC21" s="18" t="s">
        <v>1581</v>
      </c>
      <c r="AD21" s="18" t="s">
        <v>221</v>
      </c>
      <c r="AE21" s="18" t="s">
        <v>1505</v>
      </c>
      <c r="AF21" s="18"/>
      <c r="AG21" s="18" t="s">
        <v>1582</v>
      </c>
      <c r="AH21" s="18" t="s">
        <v>1583</v>
      </c>
      <c r="AI21" s="18" t="s">
        <v>226</v>
      </c>
      <c r="AJ21" s="18" t="s">
        <v>1509</v>
      </c>
      <c r="AK21" s="18" t="s">
        <v>157</v>
      </c>
      <c r="AL21" s="18" t="s">
        <v>282</v>
      </c>
      <c r="AM21" s="18" t="s">
        <v>283</v>
      </c>
      <c r="AN21" s="18" t="s">
        <v>1584</v>
      </c>
      <c r="AO21" s="18" t="s">
        <v>1488</v>
      </c>
      <c r="AP21" s="18" t="s">
        <v>1488</v>
      </c>
      <c r="AQ21" s="18" t="s">
        <v>162</v>
      </c>
      <c r="AR21" s="18">
        <v>20</v>
      </c>
      <c r="AS21" s="18">
        <v>30</v>
      </c>
      <c r="AT21" s="18">
        <v>10</v>
      </c>
      <c r="AU21" s="18">
        <v>36</v>
      </c>
      <c r="AV21" s="18">
        <v>1500</v>
      </c>
      <c r="AW21" s="18">
        <v>2000</v>
      </c>
      <c r="AX21" s="18">
        <v>1000</v>
      </c>
      <c r="AY21" s="18">
        <v>4000</v>
      </c>
      <c r="AZ21" s="18">
        <v>5.5</v>
      </c>
      <c r="BA21" s="18">
        <v>7</v>
      </c>
      <c r="BB21" s="18">
        <v>4.5</v>
      </c>
      <c r="BC21" s="18">
        <v>9</v>
      </c>
      <c r="BD21" s="18"/>
      <c r="BE21" s="18"/>
      <c r="BF21" s="18">
        <v>36</v>
      </c>
      <c r="BG21" s="18">
        <v>55</v>
      </c>
      <c r="BH21" s="18">
        <v>2500</v>
      </c>
      <c r="BI21" s="18" t="s">
        <v>163</v>
      </c>
      <c r="BJ21" s="18" t="s">
        <v>163</v>
      </c>
      <c r="BK21" s="18" t="s">
        <v>165</v>
      </c>
      <c r="BL21" s="18" t="s">
        <v>163</v>
      </c>
      <c r="BM21" s="18" t="s">
        <v>166</v>
      </c>
      <c r="BN21" s="18" t="s">
        <v>201</v>
      </c>
      <c r="BO21" s="18" t="s">
        <v>1585</v>
      </c>
      <c r="BP21" s="18" t="s">
        <v>1585</v>
      </c>
      <c r="BQ21" s="18" t="s">
        <v>169</v>
      </c>
      <c r="BR21" s="18" t="s">
        <v>170</v>
      </c>
      <c r="BS21" s="18"/>
      <c r="BT21" s="18"/>
      <c r="BU21" s="18" t="s">
        <v>171</v>
      </c>
      <c r="BV21" s="18" t="s">
        <v>171</v>
      </c>
      <c r="BW21" s="18" t="s">
        <v>1586</v>
      </c>
      <c r="BX21" s="18" t="s">
        <v>1586</v>
      </c>
      <c r="BY21" s="18"/>
      <c r="BZ21" s="18"/>
      <c r="CA21" s="18" t="s">
        <v>1587</v>
      </c>
      <c r="CB21" s="18" t="s">
        <v>583</v>
      </c>
      <c r="CC21" s="18"/>
      <c r="CD21" s="18"/>
      <c r="CE21" s="18"/>
      <c r="CF21" s="18" t="s">
        <v>1588</v>
      </c>
      <c r="CG21" s="18">
        <v>80</v>
      </c>
      <c r="CH21" s="18">
        <v>180</v>
      </c>
      <c r="CI21" s="19">
        <v>0.8</v>
      </c>
      <c r="CJ21" s="19">
        <v>1.8</v>
      </c>
      <c r="CK21" s="19">
        <v>0.1</v>
      </c>
      <c r="CL21" s="19">
        <v>0.3</v>
      </c>
      <c r="CM21" s="17" t="s">
        <v>1557</v>
      </c>
      <c r="CN21" s="20">
        <v>1.5</v>
      </c>
      <c r="CO21" s="20">
        <v>10</v>
      </c>
      <c r="CP21" s="17" t="s">
        <v>1599</v>
      </c>
      <c r="CQ21" s="17" t="s">
        <v>209</v>
      </c>
      <c r="CR21" s="21">
        <v>8</v>
      </c>
      <c r="CS21" s="21">
        <v>5</v>
      </c>
      <c r="CT21" s="21">
        <v>5</v>
      </c>
      <c r="CU21" s="21">
        <v>2</v>
      </c>
      <c r="CV21" s="21">
        <v>2</v>
      </c>
      <c r="CW21" s="21">
        <v>0</v>
      </c>
      <c r="CX21" s="21">
        <v>5</v>
      </c>
      <c r="CY21" s="21">
        <v>8</v>
      </c>
      <c r="CZ21" s="21">
        <v>5</v>
      </c>
      <c r="DA21" s="21">
        <v>180</v>
      </c>
      <c r="DB21" s="21">
        <v>200</v>
      </c>
      <c r="DC21" s="21">
        <v>250</v>
      </c>
      <c r="DD21" s="21">
        <v>30</v>
      </c>
      <c r="DE21" s="21">
        <v>20</v>
      </c>
      <c r="DF21" s="21">
        <v>0</v>
      </c>
      <c r="DG21" s="21">
        <v>60</v>
      </c>
      <c r="DH21" s="21">
        <v>350</v>
      </c>
      <c r="DI21" s="21">
        <v>80</v>
      </c>
      <c r="DJ21" s="17" t="s">
        <v>1600</v>
      </c>
      <c r="DK21" s="17" t="s">
        <v>1495</v>
      </c>
      <c r="DL21" s="22">
        <v>100</v>
      </c>
      <c r="DM21" s="17" t="s">
        <v>1601</v>
      </c>
      <c r="DN21" s="23"/>
      <c r="DO21" s="24" t="s">
        <v>182</v>
      </c>
      <c r="DP21" s="25" t="s">
        <v>183</v>
      </c>
      <c r="DQ21" s="25" t="s">
        <v>183</v>
      </c>
      <c r="DR21" s="24" t="s">
        <v>182</v>
      </c>
      <c r="DS21" s="23"/>
      <c r="DT21" s="23"/>
      <c r="DU21" s="23"/>
      <c r="DV21" s="23"/>
      <c r="DW21" s="23"/>
      <c r="DX21" s="23"/>
      <c r="DY21" s="23"/>
      <c r="DZ21" s="17" t="s">
        <v>1602</v>
      </c>
      <c r="EA21" s="17" t="s">
        <v>1603</v>
      </c>
      <c r="EB21" s="48" t="s">
        <v>239</v>
      </c>
      <c r="EC21" s="17" t="s">
        <v>1499</v>
      </c>
      <c r="ED21" s="27" t="s">
        <v>1604</v>
      </c>
      <c r="EE21" s="22">
        <v>1</v>
      </c>
      <c r="EF21" s="9" t="s">
        <v>1605</v>
      </c>
    </row>
    <row r="22" spans="1:136" ht="15" customHeight="1" x14ac:dyDescent="0.25">
      <c r="A22" s="16" t="s">
        <v>1536</v>
      </c>
      <c r="B22" s="29" t="s">
        <v>1479</v>
      </c>
      <c r="C22" s="29" t="s">
        <v>1537</v>
      </c>
      <c r="D22" s="30">
        <v>354.4</v>
      </c>
      <c r="E22" s="30">
        <v>10.199999999999999</v>
      </c>
      <c r="F22" s="30">
        <v>3.5</v>
      </c>
      <c r="G22" s="30">
        <v>67.400000000000006</v>
      </c>
      <c r="H22" s="30">
        <v>3.7</v>
      </c>
      <c r="I22" s="30">
        <v>8</v>
      </c>
      <c r="J22" s="30">
        <v>5.2</v>
      </c>
      <c r="K22" s="30">
        <v>104</v>
      </c>
      <c r="L22" s="30">
        <v>231</v>
      </c>
      <c r="M22" s="30">
        <v>195</v>
      </c>
      <c r="N22" s="30">
        <v>1</v>
      </c>
      <c r="O22" s="30">
        <v>2.7</v>
      </c>
      <c r="P22" s="30"/>
      <c r="Q22" s="30"/>
      <c r="R22" s="30">
        <v>13</v>
      </c>
      <c r="S22" s="30">
        <v>0</v>
      </c>
      <c r="T22" s="30">
        <v>0</v>
      </c>
      <c r="U22" s="30">
        <v>0</v>
      </c>
      <c r="V22" s="30">
        <v>0.31</v>
      </c>
      <c r="W22" s="30">
        <v>0.03</v>
      </c>
      <c r="X22" s="30">
        <v>5.0999999999999996</v>
      </c>
      <c r="Y22" s="30">
        <v>0.2</v>
      </c>
      <c r="Z22" s="30">
        <v>0</v>
      </c>
      <c r="AA22" s="30">
        <v>85</v>
      </c>
      <c r="AB22" s="31">
        <v>8418</v>
      </c>
      <c r="AC22" s="31" t="s">
        <v>1538</v>
      </c>
      <c r="AD22" s="31" t="s">
        <v>1539</v>
      </c>
      <c r="AE22" s="31" t="s">
        <v>1505</v>
      </c>
      <c r="AF22" s="31" t="s">
        <v>1540</v>
      </c>
      <c r="AG22" s="31" t="s">
        <v>1541</v>
      </c>
      <c r="AH22" s="31" t="s">
        <v>1542</v>
      </c>
      <c r="AI22" s="31" t="s">
        <v>226</v>
      </c>
      <c r="AJ22" s="31" t="s">
        <v>1509</v>
      </c>
      <c r="AK22" s="31" t="s">
        <v>157</v>
      </c>
      <c r="AL22" s="31" t="s">
        <v>282</v>
      </c>
      <c r="AM22" s="31" t="s">
        <v>283</v>
      </c>
      <c r="AN22" s="31"/>
      <c r="AO22" s="31" t="s">
        <v>1488</v>
      </c>
      <c r="AP22" s="31" t="s">
        <v>1488</v>
      </c>
      <c r="AQ22" s="31" t="s">
        <v>162</v>
      </c>
      <c r="AR22" s="31">
        <v>25</v>
      </c>
      <c r="AS22" s="31">
        <v>35</v>
      </c>
      <c r="AT22" s="31">
        <v>12</v>
      </c>
      <c r="AU22" s="31">
        <v>40</v>
      </c>
      <c r="AV22" s="31">
        <v>400</v>
      </c>
      <c r="AW22" s="31">
        <v>900</v>
      </c>
      <c r="AX22" s="31">
        <v>200</v>
      </c>
      <c r="AY22" s="31">
        <v>1700</v>
      </c>
      <c r="AZ22" s="31">
        <v>5</v>
      </c>
      <c r="BA22" s="31">
        <v>6.5</v>
      </c>
      <c r="BB22" s="31">
        <v>4.5</v>
      </c>
      <c r="BC22" s="31">
        <v>8.3000000000000007</v>
      </c>
      <c r="BD22" s="31">
        <v>18</v>
      </c>
      <c r="BE22" s="31">
        <v>14</v>
      </c>
      <c r="BF22" s="31">
        <v>28</v>
      </c>
      <c r="BG22" s="31">
        <v>32</v>
      </c>
      <c r="BH22" s="31">
        <v>1800</v>
      </c>
      <c r="BI22" s="31" t="s">
        <v>163</v>
      </c>
      <c r="BJ22" s="31" t="s">
        <v>163</v>
      </c>
      <c r="BK22" s="31" t="s">
        <v>163</v>
      </c>
      <c r="BL22" s="31" t="s">
        <v>164</v>
      </c>
      <c r="BM22" s="31" t="s">
        <v>288</v>
      </c>
      <c r="BN22" s="31" t="s">
        <v>166</v>
      </c>
      <c r="BO22" s="31" t="s">
        <v>250</v>
      </c>
      <c r="BP22" s="31" t="s">
        <v>250</v>
      </c>
      <c r="BQ22" s="31" t="s">
        <v>170</v>
      </c>
      <c r="BR22" s="31" t="s">
        <v>230</v>
      </c>
      <c r="BS22" s="31"/>
      <c r="BT22" s="31"/>
      <c r="BU22" s="31" t="s">
        <v>171</v>
      </c>
      <c r="BV22" s="31" t="s">
        <v>231</v>
      </c>
      <c r="BW22" s="31" t="s">
        <v>172</v>
      </c>
      <c r="BX22" s="31" t="s">
        <v>290</v>
      </c>
      <c r="BY22" s="31">
        <v>2</v>
      </c>
      <c r="BZ22" s="31">
        <v>0</v>
      </c>
      <c r="CA22" s="31" t="s">
        <v>508</v>
      </c>
      <c r="CB22" s="31" t="s">
        <v>1543</v>
      </c>
      <c r="CC22" s="31"/>
      <c r="CD22" s="31"/>
      <c r="CE22" s="31"/>
      <c r="CF22" s="31" t="s">
        <v>1544</v>
      </c>
      <c r="CG22" s="31">
        <v>60</v>
      </c>
      <c r="CH22" s="31">
        <v>120</v>
      </c>
      <c r="CI22" s="19">
        <v>0.9</v>
      </c>
      <c r="CJ22" s="19">
        <v>3</v>
      </c>
      <c r="CK22" s="19">
        <v>0.1</v>
      </c>
      <c r="CL22" s="19">
        <v>0.3</v>
      </c>
      <c r="CM22" s="17" t="s">
        <v>1545</v>
      </c>
      <c r="CN22" s="20">
        <v>0.3</v>
      </c>
      <c r="CO22" s="20">
        <v>2.5</v>
      </c>
      <c r="CP22" s="17" t="s">
        <v>1546</v>
      </c>
      <c r="CQ22" s="17" t="s">
        <v>209</v>
      </c>
      <c r="CR22" s="21">
        <v>3</v>
      </c>
      <c r="CS22" s="21">
        <v>2</v>
      </c>
      <c r="CT22" s="21">
        <v>5</v>
      </c>
      <c r="CU22" s="21">
        <v>1</v>
      </c>
      <c r="CV22" s="21">
        <v>1</v>
      </c>
      <c r="CW22" s="21">
        <v>0</v>
      </c>
      <c r="CX22" s="21">
        <v>1</v>
      </c>
      <c r="CY22" s="21">
        <v>5</v>
      </c>
      <c r="CZ22" s="21">
        <v>3</v>
      </c>
      <c r="DA22" s="21">
        <v>120</v>
      </c>
      <c r="DB22" s="21">
        <v>60</v>
      </c>
      <c r="DC22" s="21">
        <v>200</v>
      </c>
      <c r="DD22" s="21">
        <v>15</v>
      </c>
      <c r="DE22" s="21">
        <v>10</v>
      </c>
      <c r="DF22" s="21">
        <v>0</v>
      </c>
      <c r="DG22" s="21">
        <v>10</v>
      </c>
      <c r="DH22" s="21">
        <v>300</v>
      </c>
      <c r="DI22" s="21">
        <v>80</v>
      </c>
      <c r="DJ22" s="17" t="s">
        <v>1547</v>
      </c>
      <c r="DK22" s="17" t="s">
        <v>1495</v>
      </c>
      <c r="DL22" s="22">
        <v>100</v>
      </c>
      <c r="DM22" s="17" t="s">
        <v>1548</v>
      </c>
      <c r="DN22" s="23"/>
      <c r="DO22" s="24" t="s">
        <v>182</v>
      </c>
      <c r="DP22" s="25" t="s">
        <v>183</v>
      </c>
      <c r="DQ22" s="25" t="s">
        <v>183</v>
      </c>
      <c r="DR22" s="25" t="s">
        <v>183</v>
      </c>
      <c r="DS22" s="24" t="s">
        <v>182</v>
      </c>
      <c r="DT22" s="23"/>
      <c r="DU22" s="23"/>
      <c r="DV22" s="23"/>
      <c r="DW22" s="23"/>
      <c r="DX22" s="23"/>
      <c r="DY22" s="23"/>
      <c r="DZ22" s="17" t="s">
        <v>1549</v>
      </c>
      <c r="EA22" s="17" t="s">
        <v>1550</v>
      </c>
      <c r="EB22" s="48" t="s">
        <v>239</v>
      </c>
      <c r="EC22" s="17" t="s">
        <v>1499</v>
      </c>
      <c r="ED22" s="27" t="s">
        <v>1518</v>
      </c>
      <c r="EE22" s="22">
        <v>1</v>
      </c>
      <c r="EF22" s="9" t="s">
        <v>1519</v>
      </c>
    </row>
    <row r="23" spans="1:136" ht="15" customHeight="1" x14ac:dyDescent="0.25">
      <c r="A23" s="16" t="s">
        <v>1628</v>
      </c>
      <c r="B23" s="17" t="s">
        <v>1479</v>
      </c>
      <c r="C23" s="17" t="s">
        <v>1636</v>
      </c>
      <c r="D23" s="18">
        <v>329</v>
      </c>
      <c r="E23" s="18">
        <v>10.62</v>
      </c>
      <c r="F23" s="18">
        <v>72.09</v>
      </c>
      <c r="G23" s="18">
        <v>6.7</v>
      </c>
      <c r="H23" s="18">
        <v>3.46</v>
      </c>
      <c r="I23" s="18">
        <v>13</v>
      </c>
      <c r="J23" s="18">
        <v>3.36</v>
      </c>
      <c r="K23" s="18">
        <v>165</v>
      </c>
      <c r="L23" s="18">
        <v>289</v>
      </c>
      <c r="M23" s="18">
        <v>363</v>
      </c>
      <c r="N23" s="18">
        <v>2</v>
      </c>
      <c r="O23" s="18">
        <v>1.67</v>
      </c>
      <c r="P23" s="18">
        <v>0.28399999999999997</v>
      </c>
      <c r="Q23" s="18">
        <v>1.605</v>
      </c>
      <c r="R23" s="18">
        <v>12.2</v>
      </c>
      <c r="S23" s="18">
        <v>0</v>
      </c>
      <c r="T23" s="18">
        <v>0.5</v>
      </c>
      <c r="U23" s="18">
        <v>0</v>
      </c>
      <c r="V23" s="18">
        <v>0.33200000000000002</v>
      </c>
      <c r="W23" s="18">
        <v>9.6000000000000002E-2</v>
      </c>
      <c r="X23" s="18">
        <v>3.6880000000000002</v>
      </c>
      <c r="Y23" s="18">
        <v>0.443</v>
      </c>
      <c r="Z23" s="18">
        <v>0</v>
      </c>
      <c r="AA23" s="18">
        <v>20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51">
        <v>0</v>
      </c>
      <c r="BP23" s="51">
        <v>0</v>
      </c>
      <c r="BQ23" s="51">
        <v>0</v>
      </c>
      <c r="BR23" s="51">
        <v>0</v>
      </c>
      <c r="BS23" s="51">
        <v>0</v>
      </c>
      <c r="BT23" s="51">
        <v>0</v>
      </c>
      <c r="BU23" s="51">
        <v>0</v>
      </c>
      <c r="BV23" s="51">
        <v>0</v>
      </c>
      <c r="BW23" s="51">
        <v>0</v>
      </c>
      <c r="BX23" s="51">
        <v>0</v>
      </c>
      <c r="BY23" s="51">
        <v>0</v>
      </c>
      <c r="BZ23" s="51">
        <v>0</v>
      </c>
      <c r="CA23" s="51">
        <v>0</v>
      </c>
      <c r="CB23" s="51">
        <v>0</v>
      </c>
      <c r="CC23" s="51">
        <v>0</v>
      </c>
      <c r="CD23" s="51">
        <v>0</v>
      </c>
      <c r="CE23" s="51">
        <v>0</v>
      </c>
      <c r="CF23" s="51">
        <v>0</v>
      </c>
      <c r="CG23" s="51">
        <v>0</v>
      </c>
      <c r="CH23" s="51">
        <v>0</v>
      </c>
      <c r="CI23" s="19">
        <v>0.9</v>
      </c>
      <c r="CJ23" s="19">
        <v>3.5</v>
      </c>
      <c r="CK23" s="19">
        <v>0.2</v>
      </c>
      <c r="CL23" s="19">
        <v>0.5</v>
      </c>
      <c r="CM23" s="17" t="s">
        <v>1630</v>
      </c>
      <c r="CN23" s="20">
        <v>0.5</v>
      </c>
      <c r="CO23" s="20">
        <v>6</v>
      </c>
      <c r="CP23" s="17" t="s">
        <v>1631</v>
      </c>
      <c r="CQ23" s="17" t="s">
        <v>209</v>
      </c>
      <c r="CR23" s="21">
        <v>4</v>
      </c>
      <c r="CS23" s="21">
        <v>1</v>
      </c>
      <c r="CT23" s="21">
        <v>2</v>
      </c>
      <c r="CU23" s="21">
        <v>1</v>
      </c>
      <c r="CV23" s="21">
        <v>1</v>
      </c>
      <c r="CW23" s="21">
        <v>0</v>
      </c>
      <c r="CX23" s="21">
        <v>1</v>
      </c>
      <c r="CY23" s="21">
        <v>3</v>
      </c>
      <c r="CZ23" s="21">
        <v>2</v>
      </c>
      <c r="DA23" s="21">
        <v>130</v>
      </c>
      <c r="DB23" s="21">
        <v>50</v>
      </c>
      <c r="DC23" s="21">
        <v>120</v>
      </c>
      <c r="DD23" s="21">
        <v>20</v>
      </c>
      <c r="DE23" s="21">
        <v>15</v>
      </c>
      <c r="DF23" s="21">
        <v>0</v>
      </c>
      <c r="DG23" s="21">
        <v>10</v>
      </c>
      <c r="DH23" s="21">
        <v>250</v>
      </c>
      <c r="DI23" s="21">
        <v>50</v>
      </c>
      <c r="DJ23" s="17" t="s">
        <v>1632</v>
      </c>
      <c r="DK23" s="17" t="s">
        <v>1495</v>
      </c>
      <c r="DL23" s="22">
        <v>100</v>
      </c>
      <c r="DM23" s="17" t="s">
        <v>1633</v>
      </c>
      <c r="DN23" s="23"/>
      <c r="DO23" s="24" t="s">
        <v>182</v>
      </c>
      <c r="DP23" s="25" t="s">
        <v>183</v>
      </c>
      <c r="DQ23" s="25" t="s">
        <v>183</v>
      </c>
      <c r="DR23" s="25" t="s">
        <v>183</v>
      </c>
      <c r="DS23" s="24" t="s">
        <v>182</v>
      </c>
      <c r="DT23" s="23"/>
      <c r="DU23" s="23"/>
      <c r="DV23" s="23"/>
      <c r="DW23" s="23"/>
      <c r="DX23" s="23"/>
      <c r="DY23" s="23"/>
      <c r="DZ23" s="17" t="s">
        <v>1634</v>
      </c>
      <c r="EA23" s="17" t="s">
        <v>1635</v>
      </c>
      <c r="EB23" s="48" t="s">
        <v>239</v>
      </c>
      <c r="EC23" s="17" t="s">
        <v>1499</v>
      </c>
      <c r="ED23" s="27" t="s">
        <v>1518</v>
      </c>
      <c r="EE23" s="22">
        <v>1</v>
      </c>
      <c r="EF23" s="9" t="s">
        <v>1519</v>
      </c>
    </row>
    <row r="24" spans="1:136" ht="15" customHeight="1" x14ac:dyDescent="0.25">
      <c r="A24" s="16" t="s">
        <v>2059</v>
      </c>
      <c r="B24" s="17" t="s">
        <v>1969</v>
      </c>
      <c r="C24" s="17" t="s">
        <v>2060</v>
      </c>
      <c r="D24" s="18">
        <v>567.9</v>
      </c>
      <c r="E24" s="18">
        <v>24.7</v>
      </c>
      <c r="F24" s="18">
        <v>47.1</v>
      </c>
      <c r="G24" s="18">
        <v>8.9</v>
      </c>
      <c r="H24" s="18">
        <v>8.1999999999999993</v>
      </c>
      <c r="I24" s="18">
        <v>54</v>
      </c>
      <c r="J24" s="18">
        <v>2.2999999999999998</v>
      </c>
      <c r="K24" s="18">
        <v>160</v>
      </c>
      <c r="L24" s="18">
        <v>370</v>
      </c>
      <c r="M24" s="18">
        <v>540</v>
      </c>
      <c r="N24" s="18">
        <v>1</v>
      </c>
      <c r="O24" s="18">
        <v>3</v>
      </c>
      <c r="P24" s="18">
        <v>0.81</v>
      </c>
      <c r="Q24" s="18">
        <v>1.7</v>
      </c>
      <c r="R24" s="18">
        <v>12</v>
      </c>
      <c r="S24" s="18">
        <v>1</v>
      </c>
      <c r="T24" s="18">
        <v>9.5</v>
      </c>
      <c r="U24" s="18">
        <v>0</v>
      </c>
      <c r="V24" s="18">
        <v>0.79</v>
      </c>
      <c r="W24" s="18">
        <v>0.12</v>
      </c>
      <c r="X24" s="18">
        <v>15</v>
      </c>
      <c r="Y24" s="18">
        <v>0.65</v>
      </c>
      <c r="Z24" s="18">
        <v>0</v>
      </c>
      <c r="AA24" s="18">
        <v>240</v>
      </c>
      <c r="AB24" s="18">
        <v>2199</v>
      </c>
      <c r="AC24" s="18" t="s">
        <v>2061</v>
      </c>
      <c r="AD24" s="18" t="s">
        <v>221</v>
      </c>
      <c r="AE24" s="18" t="s">
        <v>2062</v>
      </c>
      <c r="AF24" s="18"/>
      <c r="AG24" s="18" t="s">
        <v>2063</v>
      </c>
      <c r="AH24" s="18" t="s">
        <v>2064</v>
      </c>
      <c r="AI24" s="18" t="s">
        <v>226</v>
      </c>
      <c r="AJ24" s="18" t="s">
        <v>156</v>
      </c>
      <c r="AK24" s="18" t="s">
        <v>687</v>
      </c>
      <c r="AL24" s="18" t="s">
        <v>282</v>
      </c>
      <c r="AM24" s="18" t="s">
        <v>283</v>
      </c>
      <c r="AN24" s="18"/>
      <c r="AO24" s="18" t="s">
        <v>2065</v>
      </c>
      <c r="AP24" s="18" t="s">
        <v>2066</v>
      </c>
      <c r="AQ24" s="18" t="s">
        <v>162</v>
      </c>
      <c r="AR24" s="18">
        <v>22</v>
      </c>
      <c r="AS24" s="18">
        <v>32</v>
      </c>
      <c r="AT24" s="18">
        <v>10</v>
      </c>
      <c r="AU24" s="18">
        <v>45</v>
      </c>
      <c r="AV24" s="18">
        <v>600</v>
      </c>
      <c r="AW24" s="18">
        <v>1500</v>
      </c>
      <c r="AX24" s="18">
        <v>400</v>
      </c>
      <c r="AY24" s="18">
        <v>4000</v>
      </c>
      <c r="AZ24" s="18">
        <v>5.5</v>
      </c>
      <c r="BA24" s="18">
        <v>6.5</v>
      </c>
      <c r="BB24" s="18">
        <v>4.5</v>
      </c>
      <c r="BC24" s="18">
        <v>8.5</v>
      </c>
      <c r="BD24" s="18"/>
      <c r="BE24" s="18"/>
      <c r="BF24" s="18">
        <v>40</v>
      </c>
      <c r="BG24" s="18">
        <v>45</v>
      </c>
      <c r="BH24" s="18">
        <v>1650</v>
      </c>
      <c r="BI24" s="18" t="s">
        <v>163</v>
      </c>
      <c r="BJ24" s="18" t="s">
        <v>163</v>
      </c>
      <c r="BK24" s="18" t="s">
        <v>163</v>
      </c>
      <c r="BL24" s="18" t="s">
        <v>164</v>
      </c>
      <c r="BM24" s="18" t="s">
        <v>166</v>
      </c>
      <c r="BN24" s="18" t="s">
        <v>166</v>
      </c>
      <c r="BO24" s="18" t="s">
        <v>202</v>
      </c>
      <c r="BP24" s="18" t="s">
        <v>567</v>
      </c>
      <c r="BQ24" s="18" t="s">
        <v>169</v>
      </c>
      <c r="BR24" s="18" t="s">
        <v>170</v>
      </c>
      <c r="BS24" s="18"/>
      <c r="BT24" s="18"/>
      <c r="BU24" s="18" t="s">
        <v>171</v>
      </c>
      <c r="BV24" s="18" t="s">
        <v>171</v>
      </c>
      <c r="BW24" s="18" t="s">
        <v>172</v>
      </c>
      <c r="BX24" s="18" t="s">
        <v>172</v>
      </c>
      <c r="BY24" s="18"/>
      <c r="BZ24" s="18"/>
      <c r="CA24" s="18" t="s">
        <v>173</v>
      </c>
      <c r="CB24" s="18" t="s">
        <v>2067</v>
      </c>
      <c r="CC24" s="18"/>
      <c r="CD24" s="18" t="s">
        <v>2068</v>
      </c>
      <c r="CE24" s="18"/>
      <c r="CF24" s="18" t="s">
        <v>850</v>
      </c>
      <c r="CG24" s="18">
        <v>90</v>
      </c>
      <c r="CH24" s="18">
        <v>150</v>
      </c>
      <c r="CI24" s="32">
        <v>0.3</v>
      </c>
      <c r="CJ24" s="32">
        <v>0.6</v>
      </c>
      <c r="CK24" s="32">
        <v>0.3</v>
      </c>
      <c r="CL24" s="32">
        <v>0.6</v>
      </c>
      <c r="CM24" s="33" t="s">
        <v>2069</v>
      </c>
      <c r="CN24" s="34">
        <v>0.5</v>
      </c>
      <c r="CO24" s="34">
        <v>5</v>
      </c>
      <c r="CP24" s="35" t="s">
        <v>2070</v>
      </c>
      <c r="CQ24" s="35" t="s">
        <v>209</v>
      </c>
      <c r="CR24" s="36">
        <v>5</v>
      </c>
      <c r="CS24" s="36">
        <v>5</v>
      </c>
      <c r="CT24" s="36">
        <v>8</v>
      </c>
      <c r="CU24" s="36">
        <v>2</v>
      </c>
      <c r="CV24" s="36">
        <v>3</v>
      </c>
      <c r="CW24" s="36">
        <v>0</v>
      </c>
      <c r="CX24" s="36">
        <v>2</v>
      </c>
      <c r="CY24" s="36">
        <v>10</v>
      </c>
      <c r="CZ24" s="36">
        <v>8</v>
      </c>
      <c r="DA24" s="37">
        <v>150</v>
      </c>
      <c r="DB24" s="37">
        <v>120</v>
      </c>
      <c r="DC24" s="37">
        <v>280</v>
      </c>
      <c r="DD24" s="37">
        <v>20</v>
      </c>
      <c r="DE24" s="37">
        <v>25</v>
      </c>
      <c r="DF24" s="37">
        <v>0</v>
      </c>
      <c r="DG24" s="37">
        <v>20</v>
      </c>
      <c r="DH24" s="37">
        <v>400</v>
      </c>
      <c r="DI24" s="37">
        <v>150</v>
      </c>
      <c r="DJ24" s="38" t="s">
        <v>2071</v>
      </c>
      <c r="DK24" s="39" t="s">
        <v>1979</v>
      </c>
      <c r="DL24" s="40">
        <v>30</v>
      </c>
      <c r="DM24" s="39" t="s">
        <v>2072</v>
      </c>
      <c r="DN24" s="41"/>
      <c r="DO24" s="41"/>
      <c r="DP24" s="24" t="s">
        <v>182</v>
      </c>
      <c r="DQ24" s="25" t="s">
        <v>183</v>
      </c>
      <c r="DR24" s="25" t="s">
        <v>183</v>
      </c>
      <c r="DS24" s="24" t="s">
        <v>182</v>
      </c>
      <c r="DT24" s="41"/>
      <c r="DU24" s="41"/>
      <c r="DV24" s="41"/>
      <c r="DW24" s="41"/>
      <c r="DX24" s="41"/>
      <c r="DY24" s="41"/>
      <c r="DZ24" s="42" t="s">
        <v>2073</v>
      </c>
      <c r="EA24" s="42" t="s">
        <v>2074</v>
      </c>
      <c r="EB24" s="48" t="s">
        <v>239</v>
      </c>
      <c r="EC24" s="44" t="s">
        <v>2075</v>
      </c>
      <c r="ED24" s="45" t="s">
        <v>1595</v>
      </c>
      <c r="EE24" s="46">
        <v>3</v>
      </c>
      <c r="EF24" s="50" t="s">
        <v>2058</v>
      </c>
    </row>
    <row r="25" spans="1:136" ht="15" customHeight="1" x14ac:dyDescent="0.25">
      <c r="A25" s="16" t="s">
        <v>2344</v>
      </c>
      <c r="B25" s="29" t="s">
        <v>2325</v>
      </c>
      <c r="C25" s="29" t="s">
        <v>2345</v>
      </c>
      <c r="D25" s="30">
        <v>436.2</v>
      </c>
      <c r="E25" s="30">
        <v>23.8</v>
      </c>
      <c r="F25" s="30">
        <v>29.8</v>
      </c>
      <c r="G25" s="30">
        <v>3.1</v>
      </c>
      <c r="H25" s="30">
        <v>33.200000000000003</v>
      </c>
      <c r="I25" s="30">
        <v>530</v>
      </c>
      <c r="J25" s="30">
        <v>13</v>
      </c>
      <c r="K25" s="30">
        <v>380</v>
      </c>
      <c r="L25" s="30">
        <v>830</v>
      </c>
      <c r="M25" s="30">
        <v>720</v>
      </c>
      <c r="N25" s="30">
        <v>0</v>
      </c>
      <c r="O25" s="30">
        <v>5.4</v>
      </c>
      <c r="P25" s="30">
        <v>1.7</v>
      </c>
      <c r="Q25" s="30">
        <v>4.3</v>
      </c>
      <c r="R25" s="30">
        <v>12</v>
      </c>
      <c r="S25" s="30">
        <v>0</v>
      </c>
      <c r="T25" s="30">
        <v>1.06</v>
      </c>
      <c r="U25" s="30">
        <v>0</v>
      </c>
      <c r="V25" s="30">
        <v>0.24</v>
      </c>
      <c r="W25" s="30">
        <v>0.04</v>
      </c>
      <c r="X25" s="30">
        <v>7.6</v>
      </c>
      <c r="Y25" s="30">
        <v>0.12</v>
      </c>
      <c r="Z25" s="30">
        <v>0</v>
      </c>
      <c r="AA25" s="30">
        <v>111</v>
      </c>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2">
        <v>0.6</v>
      </c>
      <c r="CJ25" s="32">
        <v>1.8</v>
      </c>
      <c r="CK25" s="32">
        <v>0.3</v>
      </c>
      <c r="CL25" s="32">
        <v>0.6</v>
      </c>
      <c r="CM25" s="33" t="s">
        <v>1709</v>
      </c>
      <c r="CN25" s="34">
        <v>0.3</v>
      </c>
      <c r="CO25" s="34">
        <v>1.5</v>
      </c>
      <c r="CP25" s="35" t="s">
        <v>2346</v>
      </c>
      <c r="CQ25" s="35" t="s">
        <v>2099</v>
      </c>
      <c r="CR25" s="36">
        <v>3</v>
      </c>
      <c r="CS25" s="36">
        <v>2</v>
      </c>
      <c r="CT25" s="36">
        <v>4</v>
      </c>
      <c r="CU25" s="36">
        <v>1</v>
      </c>
      <c r="CV25" s="36">
        <v>2</v>
      </c>
      <c r="CW25" s="36">
        <v>0</v>
      </c>
      <c r="CX25" s="36">
        <v>2</v>
      </c>
      <c r="CY25" s="36">
        <v>5</v>
      </c>
      <c r="CZ25" s="36">
        <v>5</v>
      </c>
      <c r="DA25" s="37">
        <v>110</v>
      </c>
      <c r="DB25" s="37">
        <v>50</v>
      </c>
      <c r="DC25" s="37">
        <v>150</v>
      </c>
      <c r="DD25" s="37">
        <v>15</v>
      </c>
      <c r="DE25" s="37">
        <v>15</v>
      </c>
      <c r="DF25" s="37">
        <v>0</v>
      </c>
      <c r="DG25" s="37">
        <v>20</v>
      </c>
      <c r="DH25" s="37">
        <v>200</v>
      </c>
      <c r="DI25" s="37">
        <v>80</v>
      </c>
      <c r="DJ25" s="38" t="s">
        <v>2347</v>
      </c>
      <c r="DK25" s="39" t="s">
        <v>1979</v>
      </c>
      <c r="DL25" s="40">
        <v>30</v>
      </c>
      <c r="DM25" s="39" t="s">
        <v>2348</v>
      </c>
      <c r="DN25" s="41"/>
      <c r="DO25" s="41"/>
      <c r="DP25" s="24" t="s">
        <v>182</v>
      </c>
      <c r="DQ25" s="25" t="s">
        <v>183</v>
      </c>
      <c r="DR25" s="25" t="s">
        <v>183</v>
      </c>
      <c r="DS25" s="24" t="s">
        <v>182</v>
      </c>
      <c r="DT25" s="41"/>
      <c r="DU25" s="41"/>
      <c r="DV25" s="41"/>
      <c r="DW25" s="41"/>
      <c r="DX25" s="41"/>
      <c r="DY25" s="41"/>
      <c r="DZ25" s="42" t="s">
        <v>2349</v>
      </c>
      <c r="EA25" s="42" t="s">
        <v>2350</v>
      </c>
      <c r="EB25" s="48" t="s">
        <v>239</v>
      </c>
      <c r="EC25" s="44" t="s">
        <v>2351</v>
      </c>
      <c r="ED25" s="45" t="s">
        <v>2352</v>
      </c>
      <c r="EE25" s="46">
        <v>1</v>
      </c>
      <c r="EF25" s="57" t="s">
        <v>2353</v>
      </c>
    </row>
    <row r="26" spans="1:136" ht="15" customHeight="1" x14ac:dyDescent="0.25">
      <c r="A26" s="16" t="s">
        <v>2043</v>
      </c>
      <c r="B26" s="29" t="s">
        <v>1969</v>
      </c>
      <c r="C26" s="29" t="s">
        <v>2044</v>
      </c>
      <c r="D26" s="30">
        <v>737.6</v>
      </c>
      <c r="E26" s="30">
        <v>6.5</v>
      </c>
      <c r="F26" s="30">
        <v>76.7</v>
      </c>
      <c r="G26" s="30">
        <v>4.5999999999999996</v>
      </c>
      <c r="H26" s="30">
        <v>7.9</v>
      </c>
      <c r="I26" s="30">
        <v>51</v>
      </c>
      <c r="J26" s="30">
        <v>1.7</v>
      </c>
      <c r="K26" s="30">
        <v>110</v>
      </c>
      <c r="L26" s="30">
        <v>200</v>
      </c>
      <c r="M26" s="30">
        <v>370</v>
      </c>
      <c r="N26" s="30">
        <v>1</v>
      </c>
      <c r="O26" s="30">
        <v>1.1000000000000001</v>
      </c>
      <c r="P26" s="30">
        <v>0.39</v>
      </c>
      <c r="Q26" s="30">
        <v>4.0999999999999996</v>
      </c>
      <c r="R26" s="30">
        <v>11</v>
      </c>
      <c r="S26" s="30">
        <v>0</v>
      </c>
      <c r="T26" s="30">
        <v>0</v>
      </c>
      <c r="U26" s="30">
        <v>0</v>
      </c>
      <c r="V26" s="30">
        <v>0.31</v>
      </c>
      <c r="W26" s="30">
        <v>7.0000000000000007E-2</v>
      </c>
      <c r="X26" s="30">
        <v>0.9</v>
      </c>
      <c r="Y26" s="30">
        <v>0.27</v>
      </c>
      <c r="Z26" s="30">
        <v>0</v>
      </c>
      <c r="AA26" s="30">
        <v>22</v>
      </c>
      <c r="AB26" s="31">
        <v>1382</v>
      </c>
      <c r="AC26" s="31" t="s">
        <v>2045</v>
      </c>
      <c r="AD26" s="31" t="s">
        <v>2046</v>
      </c>
      <c r="AE26" s="31" t="s">
        <v>2047</v>
      </c>
      <c r="AF26" s="31"/>
      <c r="AG26" s="31" t="s">
        <v>2048</v>
      </c>
      <c r="AH26" s="31" t="s">
        <v>2049</v>
      </c>
      <c r="AI26" s="31" t="s">
        <v>226</v>
      </c>
      <c r="AJ26" s="31" t="s">
        <v>337</v>
      </c>
      <c r="AK26" s="31" t="s">
        <v>157</v>
      </c>
      <c r="AL26" s="31" t="s">
        <v>314</v>
      </c>
      <c r="AM26" s="31"/>
      <c r="AN26" s="31" t="s">
        <v>338</v>
      </c>
      <c r="AO26" s="31" t="s">
        <v>2050</v>
      </c>
      <c r="AP26" s="31" t="s">
        <v>340</v>
      </c>
      <c r="AQ26" s="31"/>
      <c r="AR26" s="31">
        <v>10</v>
      </c>
      <c r="AS26" s="31">
        <v>26</v>
      </c>
      <c r="AT26" s="31">
        <v>8</v>
      </c>
      <c r="AU26" s="31">
        <v>35</v>
      </c>
      <c r="AV26" s="31">
        <v>1000</v>
      </c>
      <c r="AW26" s="31">
        <v>3000</v>
      </c>
      <c r="AX26" s="31">
        <v>700</v>
      </c>
      <c r="AY26" s="31">
        <v>3500</v>
      </c>
      <c r="AZ26" s="31">
        <v>5</v>
      </c>
      <c r="BA26" s="31">
        <v>6</v>
      </c>
      <c r="BB26" s="31">
        <v>4.5</v>
      </c>
      <c r="BC26" s="31">
        <v>7</v>
      </c>
      <c r="BD26" s="31">
        <v>15</v>
      </c>
      <c r="BE26" s="31"/>
      <c r="BF26" s="31">
        <v>35</v>
      </c>
      <c r="BG26" s="31">
        <v>40</v>
      </c>
      <c r="BH26" s="31">
        <v>1600</v>
      </c>
      <c r="BI26" s="31" t="s">
        <v>164</v>
      </c>
      <c r="BJ26" s="31" t="s">
        <v>163</v>
      </c>
      <c r="BK26" s="31" t="s">
        <v>164</v>
      </c>
      <c r="BL26" s="31" t="s">
        <v>163</v>
      </c>
      <c r="BM26" s="31" t="s">
        <v>166</v>
      </c>
      <c r="BN26" s="31" t="s">
        <v>166</v>
      </c>
      <c r="BO26" s="31" t="s">
        <v>1410</v>
      </c>
      <c r="BP26" s="31" t="s">
        <v>1410</v>
      </c>
      <c r="BQ26" s="31" t="s">
        <v>170</v>
      </c>
      <c r="BR26" s="31" t="s">
        <v>170</v>
      </c>
      <c r="BS26" s="31"/>
      <c r="BT26" s="31"/>
      <c r="BU26" s="31" t="s">
        <v>171</v>
      </c>
      <c r="BV26" s="31" t="s">
        <v>171</v>
      </c>
      <c r="BW26" s="31" t="s">
        <v>172</v>
      </c>
      <c r="BX26" s="31" t="s">
        <v>172</v>
      </c>
      <c r="BY26" s="31"/>
      <c r="BZ26" s="31"/>
      <c r="CA26" s="31"/>
      <c r="CB26" s="31"/>
      <c r="CC26" s="31"/>
      <c r="CD26" s="31"/>
      <c r="CE26" s="31"/>
      <c r="CF26" s="31"/>
      <c r="CG26" s="31">
        <v>365</v>
      </c>
      <c r="CH26" s="31">
        <v>365</v>
      </c>
      <c r="CI26" s="19">
        <v>5</v>
      </c>
      <c r="CJ26" s="19">
        <v>18</v>
      </c>
      <c r="CK26" s="19">
        <v>5</v>
      </c>
      <c r="CL26" s="19">
        <v>12</v>
      </c>
      <c r="CM26" s="17" t="s">
        <v>868</v>
      </c>
      <c r="CN26" s="20">
        <v>0.5</v>
      </c>
      <c r="CO26" s="20">
        <v>5</v>
      </c>
      <c r="CP26" s="17" t="s">
        <v>2051</v>
      </c>
      <c r="CQ26" s="17" t="s">
        <v>2052</v>
      </c>
      <c r="CR26" s="21">
        <v>0</v>
      </c>
      <c r="CS26" s="21">
        <v>0</v>
      </c>
      <c r="CT26" s="21">
        <v>5</v>
      </c>
      <c r="CU26" s="21">
        <v>4</v>
      </c>
      <c r="CV26" s="21">
        <v>5</v>
      </c>
      <c r="CW26" s="21">
        <v>8</v>
      </c>
      <c r="CX26" s="21">
        <v>4</v>
      </c>
      <c r="CY26" s="21">
        <v>10</v>
      </c>
      <c r="CZ26" s="21">
        <v>5</v>
      </c>
      <c r="DA26" s="21">
        <v>0</v>
      </c>
      <c r="DB26" s="21">
        <v>0</v>
      </c>
      <c r="DC26" s="21">
        <v>40</v>
      </c>
      <c r="DD26" s="21">
        <v>25</v>
      </c>
      <c r="DE26" s="21">
        <v>35</v>
      </c>
      <c r="DF26" s="21">
        <v>60</v>
      </c>
      <c r="DG26" s="21">
        <v>30</v>
      </c>
      <c r="DH26" s="21">
        <v>250</v>
      </c>
      <c r="DI26" s="21">
        <v>100</v>
      </c>
      <c r="DJ26" s="17" t="s">
        <v>2053</v>
      </c>
      <c r="DK26" s="17" t="s">
        <v>1979</v>
      </c>
      <c r="DL26" s="22">
        <v>30</v>
      </c>
      <c r="DM26" s="17" t="s">
        <v>2054</v>
      </c>
      <c r="DN26" s="23"/>
      <c r="DO26" s="23"/>
      <c r="DP26" s="24" t="s">
        <v>182</v>
      </c>
      <c r="DQ26" s="25" t="s">
        <v>183</v>
      </c>
      <c r="DR26" s="25" t="s">
        <v>183</v>
      </c>
      <c r="DS26" s="25" t="s">
        <v>183</v>
      </c>
      <c r="DT26" s="25" t="s">
        <v>183</v>
      </c>
      <c r="DU26" s="24" t="s">
        <v>182</v>
      </c>
      <c r="DV26" s="23"/>
      <c r="DW26" s="23"/>
      <c r="DX26" s="23"/>
      <c r="DY26" s="23"/>
      <c r="DZ26" s="17" t="s">
        <v>2055</v>
      </c>
      <c r="EA26" s="17" t="s">
        <v>2056</v>
      </c>
      <c r="EB26" s="48" t="s">
        <v>239</v>
      </c>
      <c r="EC26" s="17" t="s">
        <v>2057</v>
      </c>
      <c r="ED26" s="27" t="s">
        <v>756</v>
      </c>
      <c r="EE26" s="22">
        <v>3</v>
      </c>
      <c r="EF26" s="49" t="s">
        <v>2058</v>
      </c>
    </row>
    <row r="27" spans="1:136" ht="15" customHeight="1" x14ac:dyDescent="0.25">
      <c r="A27" s="16" t="s">
        <v>329</v>
      </c>
      <c r="B27" s="17" t="s">
        <v>330</v>
      </c>
      <c r="C27" s="17" t="s">
        <v>331</v>
      </c>
      <c r="D27" s="18">
        <v>354</v>
      </c>
      <c r="E27" s="18">
        <v>3.33</v>
      </c>
      <c r="F27" s="18">
        <v>15.23</v>
      </c>
      <c r="G27" s="18">
        <v>9</v>
      </c>
      <c r="H27" s="18">
        <v>33.49</v>
      </c>
      <c r="I27" s="18">
        <v>14</v>
      </c>
      <c r="J27" s="18">
        <v>2.4300000000000002</v>
      </c>
      <c r="K27" s="18">
        <v>32</v>
      </c>
      <c r="L27" s="18">
        <v>113</v>
      </c>
      <c r="M27" s="18">
        <v>356</v>
      </c>
      <c r="N27" s="18">
        <v>20</v>
      </c>
      <c r="O27" s="18">
        <v>1.1000000000000001</v>
      </c>
      <c r="P27" s="18">
        <v>0.435</v>
      </c>
      <c r="Q27" s="18">
        <v>1.5</v>
      </c>
      <c r="R27" s="18">
        <v>10.1</v>
      </c>
      <c r="S27" s="18">
        <v>0</v>
      </c>
      <c r="T27" s="18">
        <v>0.24</v>
      </c>
      <c r="U27" s="18">
        <v>3.3</v>
      </c>
      <c r="V27" s="18">
        <v>6.6000000000000003E-2</v>
      </c>
      <c r="W27" s="18">
        <v>0.02</v>
      </c>
      <c r="X27" s="18">
        <v>0.54</v>
      </c>
      <c r="Y27" s="18">
        <v>5.3999999999999999E-2</v>
      </c>
      <c r="Z27" s="18">
        <v>0</v>
      </c>
      <c r="AA27" s="18">
        <v>26</v>
      </c>
      <c r="AB27" s="18">
        <v>744</v>
      </c>
      <c r="AC27" s="18" t="s">
        <v>332</v>
      </c>
      <c r="AD27" s="18" t="s">
        <v>333</v>
      </c>
      <c r="AE27" s="18" t="s">
        <v>334</v>
      </c>
      <c r="AF27" s="18">
        <v>0</v>
      </c>
      <c r="AG27" s="18" t="s">
        <v>335</v>
      </c>
      <c r="AH27" s="18" t="s">
        <v>336</v>
      </c>
      <c r="AI27" s="18" t="s">
        <v>226</v>
      </c>
      <c r="AJ27" s="18" t="s">
        <v>337</v>
      </c>
      <c r="AK27" s="18" t="s">
        <v>157</v>
      </c>
      <c r="AL27" s="18" t="s">
        <v>314</v>
      </c>
      <c r="AM27" s="18">
        <v>0</v>
      </c>
      <c r="AN27" s="18" t="s">
        <v>338</v>
      </c>
      <c r="AO27" s="18" t="s">
        <v>339</v>
      </c>
      <c r="AP27" s="18" t="s">
        <v>340</v>
      </c>
      <c r="AQ27" s="18" t="s">
        <v>341</v>
      </c>
      <c r="AR27" s="18">
        <v>22</v>
      </c>
      <c r="AS27" s="18">
        <v>34</v>
      </c>
      <c r="AT27" s="18">
        <v>14</v>
      </c>
      <c r="AU27" s="18">
        <v>38</v>
      </c>
      <c r="AV27" s="18">
        <v>1200</v>
      </c>
      <c r="AW27" s="18">
        <v>2400</v>
      </c>
      <c r="AX27" s="18">
        <v>650</v>
      </c>
      <c r="AY27" s="18">
        <v>4000</v>
      </c>
      <c r="AZ27" s="18">
        <v>5</v>
      </c>
      <c r="BA27" s="18">
        <v>8</v>
      </c>
      <c r="BB27" s="18">
        <v>4.3</v>
      </c>
      <c r="BC27" s="18">
        <v>8.6999999999999993</v>
      </c>
      <c r="BD27" s="18">
        <v>0</v>
      </c>
      <c r="BE27" s="18">
        <v>0</v>
      </c>
      <c r="BF27" s="18">
        <v>10</v>
      </c>
      <c r="BG27" s="18">
        <v>26</v>
      </c>
      <c r="BH27" s="18">
        <v>1500</v>
      </c>
      <c r="BI27" s="18" t="s">
        <v>163</v>
      </c>
      <c r="BJ27" s="18" t="s">
        <v>163</v>
      </c>
      <c r="BK27" s="18" t="s">
        <v>163</v>
      </c>
      <c r="BL27" s="18" t="s">
        <v>165</v>
      </c>
      <c r="BM27" s="18" t="s">
        <v>288</v>
      </c>
      <c r="BN27" s="18" t="s">
        <v>166</v>
      </c>
      <c r="BO27" s="51" t="s">
        <v>250</v>
      </c>
      <c r="BP27" s="51" t="s">
        <v>203</v>
      </c>
      <c r="BQ27" s="51" t="s">
        <v>170</v>
      </c>
      <c r="BR27" s="51" t="s">
        <v>230</v>
      </c>
      <c r="BS27" s="51">
        <v>0</v>
      </c>
      <c r="BT27" s="51">
        <v>0</v>
      </c>
      <c r="BU27" s="51" t="s">
        <v>171</v>
      </c>
      <c r="BV27" s="51" t="s">
        <v>231</v>
      </c>
      <c r="BW27" s="51" t="s">
        <v>172</v>
      </c>
      <c r="BX27" s="51" t="s">
        <v>172</v>
      </c>
      <c r="BY27" s="51">
        <v>-1</v>
      </c>
      <c r="BZ27" s="51">
        <v>0</v>
      </c>
      <c r="CA27" s="51" t="s">
        <v>173</v>
      </c>
      <c r="CB27" s="51" t="s">
        <v>342</v>
      </c>
      <c r="CC27" s="51">
        <v>0</v>
      </c>
      <c r="CD27" s="51">
        <v>0</v>
      </c>
      <c r="CE27" s="51">
        <v>0</v>
      </c>
      <c r="CF27" s="51">
        <v>0</v>
      </c>
      <c r="CG27" s="51">
        <v>270</v>
      </c>
      <c r="CH27" s="51">
        <v>365</v>
      </c>
      <c r="CI27" s="32">
        <v>20</v>
      </c>
      <c r="CJ27" s="32">
        <v>30</v>
      </c>
      <c r="CK27" s="32">
        <v>5</v>
      </c>
      <c r="CL27" s="32">
        <v>9</v>
      </c>
      <c r="CM27" s="33" t="s">
        <v>343</v>
      </c>
      <c r="CN27" s="34">
        <v>3</v>
      </c>
      <c r="CO27" s="34">
        <v>15</v>
      </c>
      <c r="CP27" s="35" t="s">
        <v>344</v>
      </c>
      <c r="CQ27" s="35" t="s">
        <v>345</v>
      </c>
      <c r="CR27" s="36">
        <v>0</v>
      </c>
      <c r="CS27" s="36">
        <v>0</v>
      </c>
      <c r="CT27" s="36">
        <v>10</v>
      </c>
      <c r="CU27" s="36">
        <v>4</v>
      </c>
      <c r="CV27" s="36">
        <v>5</v>
      </c>
      <c r="CW27" s="36">
        <v>5</v>
      </c>
      <c r="CX27" s="36">
        <v>5</v>
      </c>
      <c r="CY27" s="36">
        <v>25</v>
      </c>
      <c r="CZ27" s="36">
        <v>10</v>
      </c>
      <c r="DA27" s="37">
        <v>0</v>
      </c>
      <c r="DB27" s="37">
        <v>0</v>
      </c>
      <c r="DC27" s="37">
        <v>80</v>
      </c>
      <c r="DD27" s="37">
        <v>25</v>
      </c>
      <c r="DE27" s="37">
        <v>35</v>
      </c>
      <c r="DF27" s="37">
        <v>40</v>
      </c>
      <c r="DG27" s="37">
        <v>35</v>
      </c>
      <c r="DH27" s="37">
        <v>400</v>
      </c>
      <c r="DI27" s="37">
        <v>150</v>
      </c>
      <c r="DJ27" s="38" t="s">
        <v>346</v>
      </c>
      <c r="DK27" s="39" t="s">
        <v>347</v>
      </c>
      <c r="DL27" s="40">
        <v>30</v>
      </c>
      <c r="DM27" s="39" t="s">
        <v>348</v>
      </c>
      <c r="DN27" s="24" t="s">
        <v>182</v>
      </c>
      <c r="DO27" s="24" t="s">
        <v>182</v>
      </c>
      <c r="DP27" s="25" t="s">
        <v>183</v>
      </c>
      <c r="DQ27" s="25" t="s">
        <v>183</v>
      </c>
      <c r="DR27" s="25" t="s">
        <v>183</v>
      </c>
      <c r="DS27" s="25" t="s">
        <v>183</v>
      </c>
      <c r="DT27" s="24" t="s">
        <v>182</v>
      </c>
      <c r="DU27" s="24" t="s">
        <v>182</v>
      </c>
      <c r="DV27" s="41"/>
      <c r="DW27" s="41"/>
      <c r="DX27" s="41"/>
      <c r="DY27" s="41"/>
      <c r="DZ27" s="42" t="s">
        <v>349</v>
      </c>
      <c r="EA27" s="42" t="s">
        <v>350</v>
      </c>
      <c r="EB27" s="26" t="s">
        <v>186</v>
      </c>
      <c r="EC27" s="44" t="s">
        <v>351</v>
      </c>
      <c r="ED27" s="45" t="s">
        <v>352</v>
      </c>
      <c r="EE27" s="46">
        <v>5</v>
      </c>
      <c r="EF27" s="53" t="s">
        <v>353</v>
      </c>
    </row>
    <row r="28" spans="1:136" ht="15" customHeight="1" x14ac:dyDescent="0.25">
      <c r="A28" s="16" t="s">
        <v>2408</v>
      </c>
      <c r="B28" s="29" t="s">
        <v>2325</v>
      </c>
      <c r="C28" s="29" t="s">
        <v>2409</v>
      </c>
      <c r="D28" s="30">
        <v>282.5</v>
      </c>
      <c r="E28" s="30">
        <v>28.6</v>
      </c>
      <c r="F28" s="30">
        <v>6.5</v>
      </c>
      <c r="G28" s="30">
        <v>7.4</v>
      </c>
      <c r="H28" s="30">
        <v>41.5</v>
      </c>
      <c r="I28" s="30">
        <v>211</v>
      </c>
      <c r="J28" s="30">
        <v>3.9</v>
      </c>
      <c r="K28" s="30">
        <v>171</v>
      </c>
      <c r="L28" s="30">
        <v>302</v>
      </c>
      <c r="M28" s="30">
        <v>570</v>
      </c>
      <c r="N28" s="30">
        <v>50</v>
      </c>
      <c r="O28" s="30">
        <v>3.4</v>
      </c>
      <c r="P28" s="30"/>
      <c r="Q28" s="30"/>
      <c r="R28" s="30">
        <v>8.1999999999999993</v>
      </c>
      <c r="S28" s="30">
        <v>33</v>
      </c>
      <c r="T28" s="30">
        <v>2.33</v>
      </c>
      <c r="U28" s="30">
        <v>2</v>
      </c>
      <c r="V28" s="30">
        <v>0.56000000000000005</v>
      </c>
      <c r="W28" s="30">
        <v>0.02</v>
      </c>
      <c r="X28" s="30">
        <v>2.2000000000000002</v>
      </c>
      <c r="Y28" s="30">
        <v>0.1</v>
      </c>
      <c r="Z28" s="30">
        <v>0</v>
      </c>
      <c r="AA28" s="30">
        <v>350</v>
      </c>
      <c r="AB28" s="31">
        <v>7435</v>
      </c>
      <c r="AC28" s="31" t="s">
        <v>2410</v>
      </c>
      <c r="AD28" s="31" t="s">
        <v>2411</v>
      </c>
      <c r="AE28" s="31" t="s">
        <v>2062</v>
      </c>
      <c r="AF28" s="31" t="s">
        <v>2412</v>
      </c>
      <c r="AG28" s="31" t="s">
        <v>2413</v>
      </c>
      <c r="AH28" s="31" t="s">
        <v>2414</v>
      </c>
      <c r="AI28" s="31" t="s">
        <v>155</v>
      </c>
      <c r="AJ28" s="31" t="s">
        <v>156</v>
      </c>
      <c r="AK28" s="31" t="s">
        <v>157</v>
      </c>
      <c r="AL28" s="31" t="s">
        <v>282</v>
      </c>
      <c r="AM28" s="31" t="s">
        <v>159</v>
      </c>
      <c r="AN28" s="31" t="s">
        <v>160</v>
      </c>
      <c r="AO28" s="31" t="s">
        <v>2415</v>
      </c>
      <c r="AP28" s="31" t="s">
        <v>2066</v>
      </c>
      <c r="AQ28" s="31" t="s">
        <v>362</v>
      </c>
      <c r="AR28" s="31">
        <v>18</v>
      </c>
      <c r="AS28" s="31">
        <v>24</v>
      </c>
      <c r="AT28" s="31">
        <v>6</v>
      </c>
      <c r="AU28" s="31">
        <v>30</v>
      </c>
      <c r="AV28" s="31">
        <v>500</v>
      </c>
      <c r="AW28" s="31">
        <v>1000</v>
      </c>
      <c r="AX28" s="31">
        <v>350</v>
      </c>
      <c r="AY28" s="31">
        <v>1700</v>
      </c>
      <c r="AZ28" s="31">
        <v>5</v>
      </c>
      <c r="BA28" s="31">
        <v>6.5</v>
      </c>
      <c r="BB28" s="31">
        <v>4.5</v>
      </c>
      <c r="BC28" s="31">
        <v>7</v>
      </c>
      <c r="BD28" s="31"/>
      <c r="BE28" s="31"/>
      <c r="BF28" s="31">
        <v>22</v>
      </c>
      <c r="BG28" s="31">
        <v>50</v>
      </c>
      <c r="BH28" s="31">
        <v>4000</v>
      </c>
      <c r="BI28" s="31" t="s">
        <v>163</v>
      </c>
      <c r="BJ28" s="31" t="s">
        <v>164</v>
      </c>
      <c r="BK28" s="31" t="s">
        <v>163</v>
      </c>
      <c r="BL28" s="31" t="s">
        <v>165</v>
      </c>
      <c r="BM28" s="31" t="s">
        <v>201</v>
      </c>
      <c r="BN28" s="31" t="s">
        <v>201</v>
      </c>
      <c r="BO28" s="31" t="s">
        <v>250</v>
      </c>
      <c r="BP28" s="31" t="s">
        <v>203</v>
      </c>
      <c r="BQ28" s="31" t="s">
        <v>170</v>
      </c>
      <c r="BR28" s="31" t="s">
        <v>230</v>
      </c>
      <c r="BS28" s="31"/>
      <c r="BT28" s="31"/>
      <c r="BU28" s="31" t="s">
        <v>171</v>
      </c>
      <c r="BV28" s="31" t="s">
        <v>231</v>
      </c>
      <c r="BW28" s="31" t="s">
        <v>172</v>
      </c>
      <c r="BX28" s="31" t="s">
        <v>290</v>
      </c>
      <c r="BY28" s="31">
        <v>-5</v>
      </c>
      <c r="BZ28" s="31">
        <v>-5</v>
      </c>
      <c r="CA28" s="31" t="s">
        <v>173</v>
      </c>
      <c r="CB28" s="31" t="s">
        <v>1358</v>
      </c>
      <c r="CC28" s="31"/>
      <c r="CD28" s="31"/>
      <c r="CE28" s="31"/>
      <c r="CF28" s="31"/>
      <c r="CG28" s="31">
        <v>150</v>
      </c>
      <c r="CH28" s="31">
        <v>330</v>
      </c>
      <c r="CI28" s="19">
        <v>0.5</v>
      </c>
      <c r="CJ28" s="19">
        <v>1.5</v>
      </c>
      <c r="CK28" s="19">
        <v>0.3</v>
      </c>
      <c r="CL28" s="19">
        <v>0.6</v>
      </c>
      <c r="CM28" s="17" t="s">
        <v>1709</v>
      </c>
      <c r="CN28" s="20">
        <v>0.5</v>
      </c>
      <c r="CO28" s="20">
        <v>3.5</v>
      </c>
      <c r="CP28" s="17" t="s">
        <v>2416</v>
      </c>
      <c r="CQ28" s="17" t="s">
        <v>209</v>
      </c>
      <c r="CR28" s="21">
        <v>3</v>
      </c>
      <c r="CS28" s="21">
        <v>2</v>
      </c>
      <c r="CT28" s="21">
        <v>3</v>
      </c>
      <c r="CU28" s="21">
        <v>1</v>
      </c>
      <c r="CV28" s="21">
        <v>2</v>
      </c>
      <c r="CW28" s="21">
        <v>0</v>
      </c>
      <c r="CX28" s="21">
        <v>1</v>
      </c>
      <c r="CY28" s="21">
        <v>4</v>
      </c>
      <c r="CZ28" s="21">
        <v>3</v>
      </c>
      <c r="DA28" s="21">
        <v>120</v>
      </c>
      <c r="DB28" s="21">
        <v>50</v>
      </c>
      <c r="DC28" s="21">
        <v>120</v>
      </c>
      <c r="DD28" s="21">
        <v>10</v>
      </c>
      <c r="DE28" s="21">
        <v>15</v>
      </c>
      <c r="DF28" s="21">
        <v>0</v>
      </c>
      <c r="DG28" s="21">
        <v>10</v>
      </c>
      <c r="DH28" s="21">
        <v>220</v>
      </c>
      <c r="DI28" s="21">
        <v>60</v>
      </c>
      <c r="DJ28" s="17" t="s">
        <v>2417</v>
      </c>
      <c r="DK28" s="17" t="s">
        <v>1979</v>
      </c>
      <c r="DL28" s="22">
        <v>150</v>
      </c>
      <c r="DM28" s="17" t="s">
        <v>2418</v>
      </c>
      <c r="DN28" s="23"/>
      <c r="DO28" s="23"/>
      <c r="DP28" s="23"/>
      <c r="DQ28" s="23"/>
      <c r="DR28" s="23"/>
      <c r="DS28" s="23"/>
      <c r="DT28" s="23"/>
      <c r="DU28" s="23"/>
      <c r="DV28" s="24" t="s">
        <v>182</v>
      </c>
      <c r="DW28" s="25" t="s">
        <v>183</v>
      </c>
      <c r="DX28" s="25" t="s">
        <v>183</v>
      </c>
      <c r="DY28" s="24" t="s">
        <v>182</v>
      </c>
      <c r="DZ28" s="17" t="s">
        <v>2419</v>
      </c>
      <c r="EA28" s="17" t="s">
        <v>2420</v>
      </c>
      <c r="EB28" s="48" t="s">
        <v>239</v>
      </c>
      <c r="EC28" s="17" t="s">
        <v>2202</v>
      </c>
      <c r="ED28" s="27" t="s">
        <v>1500</v>
      </c>
      <c r="EE28" s="22">
        <v>2</v>
      </c>
      <c r="EF28" s="9" t="s">
        <v>1501</v>
      </c>
    </row>
    <row r="29" spans="1:136" ht="15" customHeight="1" x14ac:dyDescent="0.25">
      <c r="A29" s="16" t="s">
        <v>2472</v>
      </c>
      <c r="B29" s="17" t="s">
        <v>2325</v>
      </c>
      <c r="C29" s="17" t="s">
        <v>2473</v>
      </c>
      <c r="D29" s="18">
        <v>564.5</v>
      </c>
      <c r="E29" s="18">
        <v>24.7</v>
      </c>
      <c r="F29" s="18">
        <v>48.3</v>
      </c>
      <c r="G29" s="18">
        <v>3.1</v>
      </c>
      <c r="H29" s="18">
        <v>13</v>
      </c>
      <c r="I29" s="18">
        <v>99</v>
      </c>
      <c r="J29" s="18">
        <v>4.8499999999999996</v>
      </c>
      <c r="K29" s="18">
        <v>370</v>
      </c>
      <c r="L29" s="18">
        <v>775</v>
      </c>
      <c r="M29" s="18">
        <v>610</v>
      </c>
      <c r="N29" s="18">
        <v>0</v>
      </c>
      <c r="O29" s="18">
        <v>5.44</v>
      </c>
      <c r="P29" s="18">
        <v>2</v>
      </c>
      <c r="Q29" s="18">
        <v>2.1</v>
      </c>
      <c r="R29" s="18">
        <v>7.5</v>
      </c>
      <c r="S29" s="18">
        <v>0</v>
      </c>
      <c r="T29" s="18">
        <v>41.21</v>
      </c>
      <c r="U29" s="18">
        <v>0</v>
      </c>
      <c r="V29" s="18">
        <v>0.875</v>
      </c>
      <c r="W29" s="18">
        <v>0.16</v>
      </c>
      <c r="X29" s="18">
        <v>10.75</v>
      </c>
      <c r="Y29" s="18">
        <v>0.56000000000000005</v>
      </c>
      <c r="Z29" s="18">
        <v>0</v>
      </c>
      <c r="AA29" s="18">
        <v>126</v>
      </c>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9">
        <v>0.9</v>
      </c>
      <c r="CJ29" s="19">
        <v>3.5</v>
      </c>
      <c r="CK29" s="19">
        <v>0.3</v>
      </c>
      <c r="CL29" s="19">
        <v>0.9</v>
      </c>
      <c r="CM29" s="17" t="s">
        <v>2474</v>
      </c>
      <c r="CN29" s="20">
        <v>0.5</v>
      </c>
      <c r="CO29" s="20">
        <v>4</v>
      </c>
      <c r="CP29" s="17" t="s">
        <v>2475</v>
      </c>
      <c r="CQ29" s="17" t="s">
        <v>209</v>
      </c>
      <c r="CR29" s="21">
        <v>3</v>
      </c>
      <c r="CS29" s="21">
        <v>1</v>
      </c>
      <c r="CT29" s="21">
        <v>3</v>
      </c>
      <c r="CU29" s="21">
        <v>1</v>
      </c>
      <c r="CV29" s="21">
        <v>2</v>
      </c>
      <c r="CW29" s="21">
        <v>0</v>
      </c>
      <c r="CX29" s="21">
        <v>1</v>
      </c>
      <c r="CY29" s="21">
        <v>3</v>
      </c>
      <c r="CZ29" s="21">
        <v>2</v>
      </c>
      <c r="DA29" s="21">
        <v>120</v>
      </c>
      <c r="DB29" s="21">
        <v>45</v>
      </c>
      <c r="DC29" s="21">
        <v>100</v>
      </c>
      <c r="DD29" s="21">
        <v>15</v>
      </c>
      <c r="DE29" s="21">
        <v>15</v>
      </c>
      <c r="DF29" s="21">
        <v>0</v>
      </c>
      <c r="DG29" s="21">
        <v>10</v>
      </c>
      <c r="DH29" s="21">
        <v>200</v>
      </c>
      <c r="DI29" s="21">
        <v>40</v>
      </c>
      <c r="DJ29" s="17" t="s">
        <v>455</v>
      </c>
      <c r="DK29" s="17" t="s">
        <v>1979</v>
      </c>
      <c r="DL29" s="22">
        <v>30</v>
      </c>
      <c r="DM29" s="17" t="s">
        <v>2476</v>
      </c>
      <c r="DN29" s="23"/>
      <c r="DO29" s="24" t="s">
        <v>182</v>
      </c>
      <c r="DP29" s="25" t="s">
        <v>183</v>
      </c>
      <c r="DQ29" s="25" t="s">
        <v>183</v>
      </c>
      <c r="DR29" s="24" t="s">
        <v>182</v>
      </c>
      <c r="DS29" s="23"/>
      <c r="DT29" s="23"/>
      <c r="DU29" s="23"/>
      <c r="DV29" s="23"/>
      <c r="DW29" s="23"/>
      <c r="DX29" s="23"/>
      <c r="DY29" s="23"/>
      <c r="DZ29" s="17" t="s">
        <v>2477</v>
      </c>
      <c r="EA29" s="17" t="s">
        <v>2478</v>
      </c>
      <c r="EB29" s="26" t="s">
        <v>186</v>
      </c>
      <c r="EC29" s="17" t="s">
        <v>2351</v>
      </c>
      <c r="ED29" s="27" t="s">
        <v>241</v>
      </c>
      <c r="EE29" s="22">
        <v>2</v>
      </c>
      <c r="EF29" s="49" t="s">
        <v>2058</v>
      </c>
    </row>
    <row r="30" spans="1:136" ht="15" customHeight="1" x14ac:dyDescent="0.25">
      <c r="A30" s="16" t="s">
        <v>1551</v>
      </c>
      <c r="B30" s="17" t="s">
        <v>1479</v>
      </c>
      <c r="C30" s="17" t="s">
        <v>1552</v>
      </c>
      <c r="D30" s="18">
        <v>373.8</v>
      </c>
      <c r="E30" s="18">
        <v>12.2</v>
      </c>
      <c r="F30" s="18">
        <v>9.5</v>
      </c>
      <c r="G30" s="18">
        <v>54.5</v>
      </c>
      <c r="H30" s="18">
        <v>9.5</v>
      </c>
      <c r="I30" s="18">
        <v>40</v>
      </c>
      <c r="J30" s="18">
        <v>3.5</v>
      </c>
      <c r="K30" s="18">
        <v>104</v>
      </c>
      <c r="L30" s="18">
        <v>310</v>
      </c>
      <c r="M30" s="18">
        <v>310</v>
      </c>
      <c r="N30" s="18">
        <v>2</v>
      </c>
      <c r="O30" s="18">
        <v>2.35</v>
      </c>
      <c r="P30" s="18"/>
      <c r="Q30" s="18"/>
      <c r="R30" s="18">
        <v>6.5</v>
      </c>
      <c r="S30" s="18">
        <v>0</v>
      </c>
      <c r="T30" s="18">
        <v>0.23</v>
      </c>
      <c r="U30" s="18">
        <v>0</v>
      </c>
      <c r="V30" s="18">
        <v>0.39</v>
      </c>
      <c r="W30" s="18">
        <v>5.0000000000000001E-3</v>
      </c>
      <c r="X30" s="18">
        <v>1.25</v>
      </c>
      <c r="Y30" s="18">
        <v>0.2</v>
      </c>
      <c r="Z30" s="18">
        <v>0</v>
      </c>
      <c r="AA30" s="18">
        <v>17</v>
      </c>
      <c r="AB30" s="18">
        <v>481</v>
      </c>
      <c r="AC30" s="18" t="s">
        <v>1553</v>
      </c>
      <c r="AD30" s="18" t="s">
        <v>221</v>
      </c>
      <c r="AE30" s="18" t="s">
        <v>1505</v>
      </c>
      <c r="AF30" s="18"/>
      <c r="AG30" s="18" t="s">
        <v>1554</v>
      </c>
      <c r="AH30" s="18" t="s">
        <v>1555</v>
      </c>
      <c r="AI30" s="18" t="s">
        <v>155</v>
      </c>
      <c r="AJ30" s="18" t="s">
        <v>1509</v>
      </c>
      <c r="AK30" s="18" t="s">
        <v>157</v>
      </c>
      <c r="AL30" s="18" t="s">
        <v>282</v>
      </c>
      <c r="AM30" s="18" t="s">
        <v>159</v>
      </c>
      <c r="AN30" s="18"/>
      <c r="AO30" s="18" t="s">
        <v>1556</v>
      </c>
      <c r="AP30" s="18" t="s">
        <v>1488</v>
      </c>
      <c r="AQ30" s="18" t="s">
        <v>162</v>
      </c>
      <c r="AR30" s="18">
        <v>16</v>
      </c>
      <c r="AS30" s="18">
        <v>20</v>
      </c>
      <c r="AT30" s="18">
        <v>5</v>
      </c>
      <c r="AU30" s="18">
        <v>30</v>
      </c>
      <c r="AV30" s="18">
        <v>600</v>
      </c>
      <c r="AW30" s="18">
        <v>1000</v>
      </c>
      <c r="AX30" s="18">
        <v>250</v>
      </c>
      <c r="AY30" s="18">
        <v>1500</v>
      </c>
      <c r="AZ30" s="18">
        <v>5</v>
      </c>
      <c r="BA30" s="18">
        <v>6</v>
      </c>
      <c r="BB30" s="18">
        <v>4.5</v>
      </c>
      <c r="BC30" s="18">
        <v>7.5</v>
      </c>
      <c r="BD30" s="18">
        <v>45</v>
      </c>
      <c r="BE30" s="18">
        <v>40</v>
      </c>
      <c r="BF30" s="18">
        <v>60</v>
      </c>
      <c r="BG30" s="18">
        <v>60</v>
      </c>
      <c r="BH30" s="18"/>
      <c r="BI30" s="18" t="s">
        <v>163</v>
      </c>
      <c r="BJ30" s="18" t="s">
        <v>163</v>
      </c>
      <c r="BK30" s="18" t="s">
        <v>163</v>
      </c>
      <c r="BL30" s="18" t="s">
        <v>165</v>
      </c>
      <c r="BM30" s="18" t="s">
        <v>166</v>
      </c>
      <c r="BN30" s="18" t="s">
        <v>201</v>
      </c>
      <c r="BO30" s="18" t="s">
        <v>203</v>
      </c>
      <c r="BP30" s="18" t="s">
        <v>203</v>
      </c>
      <c r="BQ30" s="18" t="s">
        <v>169</v>
      </c>
      <c r="BR30" s="18" t="s">
        <v>170</v>
      </c>
      <c r="BS30" s="18"/>
      <c r="BT30" s="18"/>
      <c r="BU30" s="18" t="s">
        <v>171</v>
      </c>
      <c r="BV30" s="18" t="s">
        <v>171</v>
      </c>
      <c r="BW30" s="18" t="s">
        <v>172</v>
      </c>
      <c r="BX30" s="18" t="s">
        <v>172</v>
      </c>
      <c r="BY30" s="18">
        <v>-15</v>
      </c>
      <c r="BZ30" s="18">
        <v>-1</v>
      </c>
      <c r="CA30" s="18" t="s">
        <v>1511</v>
      </c>
      <c r="CB30" s="18" t="s">
        <v>790</v>
      </c>
      <c r="CC30" s="18"/>
      <c r="CD30" s="18"/>
      <c r="CE30" s="18"/>
      <c r="CF30" s="18"/>
      <c r="CG30" s="18">
        <v>110</v>
      </c>
      <c r="CH30" s="18">
        <v>270</v>
      </c>
      <c r="CI30" s="32">
        <v>0.6</v>
      </c>
      <c r="CJ30" s="32">
        <v>1.5</v>
      </c>
      <c r="CK30" s="32">
        <v>0.1</v>
      </c>
      <c r="CL30" s="32">
        <v>0.2</v>
      </c>
      <c r="CM30" s="33" t="s">
        <v>1557</v>
      </c>
      <c r="CN30" s="34">
        <v>1.5</v>
      </c>
      <c r="CO30" s="34">
        <v>7</v>
      </c>
      <c r="CP30" s="35" t="s">
        <v>1558</v>
      </c>
      <c r="CQ30" s="35" t="s">
        <v>178</v>
      </c>
      <c r="CR30" s="36">
        <v>3</v>
      </c>
      <c r="CS30" s="36">
        <v>1</v>
      </c>
      <c r="CT30" s="36">
        <v>1</v>
      </c>
      <c r="CU30" s="36">
        <v>1</v>
      </c>
      <c r="CV30" s="36">
        <v>1</v>
      </c>
      <c r="CW30" s="36">
        <v>0</v>
      </c>
      <c r="CX30" s="36">
        <v>0</v>
      </c>
      <c r="CY30" s="36">
        <v>2</v>
      </c>
      <c r="CZ30" s="36">
        <v>1</v>
      </c>
      <c r="DA30" s="37">
        <v>110</v>
      </c>
      <c r="DB30" s="37">
        <v>40</v>
      </c>
      <c r="DC30" s="37">
        <v>70</v>
      </c>
      <c r="DD30" s="37">
        <v>15</v>
      </c>
      <c r="DE30" s="37">
        <v>10</v>
      </c>
      <c r="DF30" s="37">
        <v>0</v>
      </c>
      <c r="DG30" s="37">
        <v>0</v>
      </c>
      <c r="DH30" s="37">
        <v>200</v>
      </c>
      <c r="DI30" s="37">
        <v>30</v>
      </c>
      <c r="DJ30" s="38" t="s">
        <v>1559</v>
      </c>
      <c r="DK30" s="39" t="s">
        <v>1495</v>
      </c>
      <c r="DL30" s="40">
        <v>120</v>
      </c>
      <c r="DM30" s="39" t="s">
        <v>1560</v>
      </c>
      <c r="DN30" s="24" t="s">
        <v>182</v>
      </c>
      <c r="DO30" s="41"/>
      <c r="DP30" s="41"/>
      <c r="DQ30" s="41"/>
      <c r="DR30" s="41"/>
      <c r="DS30" s="41"/>
      <c r="DT30" s="41"/>
      <c r="DU30" s="41"/>
      <c r="DV30" s="41"/>
      <c r="DW30" s="24" t="s">
        <v>182</v>
      </c>
      <c r="DX30" s="25" t="s">
        <v>183</v>
      </c>
      <c r="DY30" s="25" t="s">
        <v>183</v>
      </c>
      <c r="DZ30" s="42" t="s">
        <v>1561</v>
      </c>
      <c r="EA30" s="42" t="s">
        <v>1562</v>
      </c>
      <c r="EB30" s="48" t="s">
        <v>239</v>
      </c>
      <c r="EC30" s="44" t="s">
        <v>1499</v>
      </c>
      <c r="ED30" s="45" t="s">
        <v>1500</v>
      </c>
      <c r="EE30" s="46">
        <v>1</v>
      </c>
      <c r="EF30" s="57" t="s">
        <v>1501</v>
      </c>
    </row>
    <row r="31" spans="1:136" ht="15" customHeight="1" x14ac:dyDescent="0.25">
      <c r="A31" s="16" t="s">
        <v>1615</v>
      </c>
      <c r="B31" s="29" t="s">
        <v>1479</v>
      </c>
      <c r="C31" s="29" t="s">
        <v>1616</v>
      </c>
      <c r="D31" s="30">
        <v>309.8</v>
      </c>
      <c r="E31" s="30">
        <v>11.1</v>
      </c>
      <c r="F31" s="30">
        <v>2.6</v>
      </c>
      <c r="G31" s="30">
        <v>51.3</v>
      </c>
      <c r="H31" s="30">
        <v>17.3</v>
      </c>
      <c r="I31" s="30">
        <v>41</v>
      </c>
      <c r="J31" s="30">
        <v>3.7</v>
      </c>
      <c r="K31" s="30">
        <v>116</v>
      </c>
      <c r="L31" s="30">
        <v>277</v>
      </c>
      <c r="M31" s="30">
        <v>510</v>
      </c>
      <c r="N31" s="30">
        <v>5</v>
      </c>
      <c r="O31" s="30">
        <v>2.8</v>
      </c>
      <c r="P31" s="30"/>
      <c r="Q31" s="30"/>
      <c r="R31" s="30">
        <v>6</v>
      </c>
      <c r="S31" s="30">
        <v>1</v>
      </c>
      <c r="T31" s="30">
        <v>1.4</v>
      </c>
      <c r="U31" s="30">
        <v>0</v>
      </c>
      <c r="V31" s="30">
        <v>0.28000000000000003</v>
      </c>
      <c r="W31" s="30">
        <v>0.03</v>
      </c>
      <c r="X31" s="30">
        <v>1.7</v>
      </c>
      <c r="Y31" s="30">
        <v>0.5</v>
      </c>
      <c r="Z31" s="30">
        <v>0</v>
      </c>
      <c r="AA31" s="30">
        <v>38</v>
      </c>
      <c r="AB31" s="31">
        <v>1929</v>
      </c>
      <c r="AC31" s="31" t="s">
        <v>1617</v>
      </c>
      <c r="AD31" s="31" t="s">
        <v>221</v>
      </c>
      <c r="AE31" s="31" t="s">
        <v>1505</v>
      </c>
      <c r="AF31" s="31"/>
      <c r="AG31" s="31" t="s">
        <v>1618</v>
      </c>
      <c r="AH31" s="31" t="s">
        <v>1619</v>
      </c>
      <c r="AI31" s="31" t="s">
        <v>226</v>
      </c>
      <c r="AJ31" s="31" t="s">
        <v>1509</v>
      </c>
      <c r="AK31" s="31" t="s">
        <v>157</v>
      </c>
      <c r="AL31" s="31" t="s">
        <v>282</v>
      </c>
      <c r="AM31" s="31" t="s">
        <v>159</v>
      </c>
      <c r="AN31" s="31" t="s">
        <v>506</v>
      </c>
      <c r="AO31" s="31" t="s">
        <v>1620</v>
      </c>
      <c r="AP31" s="31" t="s">
        <v>1488</v>
      </c>
      <c r="AQ31" s="31" t="s">
        <v>162</v>
      </c>
      <c r="AR31" s="31">
        <v>15</v>
      </c>
      <c r="AS31" s="31">
        <v>20</v>
      </c>
      <c r="AT31" s="31">
        <v>3</v>
      </c>
      <c r="AU31" s="31">
        <v>31</v>
      </c>
      <c r="AV31" s="31">
        <v>600</v>
      </c>
      <c r="AW31" s="31">
        <v>1000</v>
      </c>
      <c r="AX31" s="31">
        <v>400</v>
      </c>
      <c r="AY31" s="31">
        <v>2000</v>
      </c>
      <c r="AZ31" s="31">
        <v>5.5</v>
      </c>
      <c r="BA31" s="31">
        <v>6</v>
      </c>
      <c r="BB31" s="31">
        <v>4.5</v>
      </c>
      <c r="BC31" s="31">
        <v>8.1999999999999993</v>
      </c>
      <c r="BD31" s="31">
        <v>45</v>
      </c>
      <c r="BE31" s="31"/>
      <c r="BF31" s="31">
        <v>60</v>
      </c>
      <c r="BG31" s="31">
        <v>70</v>
      </c>
      <c r="BH31" s="31">
        <v>4300</v>
      </c>
      <c r="BI31" s="31" t="s">
        <v>163</v>
      </c>
      <c r="BJ31" s="31" t="s">
        <v>163</v>
      </c>
      <c r="BK31" s="31" t="s">
        <v>163</v>
      </c>
      <c r="BL31" s="31" t="s">
        <v>165</v>
      </c>
      <c r="BM31" s="31" t="s">
        <v>166</v>
      </c>
      <c r="BN31" s="31" t="s">
        <v>201</v>
      </c>
      <c r="BO31" s="31" t="s">
        <v>203</v>
      </c>
      <c r="BP31" s="31" t="s">
        <v>203</v>
      </c>
      <c r="BQ31" s="31" t="s">
        <v>170</v>
      </c>
      <c r="BR31" s="31" t="s">
        <v>230</v>
      </c>
      <c r="BS31" s="31"/>
      <c r="BT31" s="31"/>
      <c r="BU31" s="31" t="s">
        <v>171</v>
      </c>
      <c r="BV31" s="31" t="s">
        <v>748</v>
      </c>
      <c r="BW31" s="31" t="s">
        <v>172</v>
      </c>
      <c r="BX31" s="31" t="s">
        <v>882</v>
      </c>
      <c r="BY31" s="31">
        <v>-18</v>
      </c>
      <c r="BZ31" s="31">
        <v>-1</v>
      </c>
      <c r="CA31" s="31" t="s">
        <v>508</v>
      </c>
      <c r="CB31" s="31" t="s">
        <v>1621</v>
      </c>
      <c r="CC31" s="31"/>
      <c r="CD31" s="31"/>
      <c r="CE31" s="31"/>
      <c r="CF31" s="31" t="s">
        <v>850</v>
      </c>
      <c r="CG31" s="31">
        <v>110</v>
      </c>
      <c r="CH31" s="31">
        <v>270</v>
      </c>
      <c r="CI31" s="19">
        <v>0.8</v>
      </c>
      <c r="CJ31" s="19">
        <v>2</v>
      </c>
      <c r="CK31" s="19">
        <v>0.1</v>
      </c>
      <c r="CL31" s="19">
        <v>0.2</v>
      </c>
      <c r="CM31" s="17" t="s">
        <v>1622</v>
      </c>
      <c r="CN31" s="20">
        <v>1</v>
      </c>
      <c r="CO31" s="20">
        <v>6</v>
      </c>
      <c r="CP31" s="17" t="s">
        <v>1623</v>
      </c>
      <c r="CQ31" s="17" t="s">
        <v>209</v>
      </c>
      <c r="CR31" s="21">
        <v>3</v>
      </c>
      <c r="CS31" s="21">
        <v>1</v>
      </c>
      <c r="CT31" s="21">
        <v>1</v>
      </c>
      <c r="CU31" s="21">
        <v>1</v>
      </c>
      <c r="CV31" s="21">
        <v>1</v>
      </c>
      <c r="CW31" s="21">
        <v>0</v>
      </c>
      <c r="CX31" s="21">
        <v>0</v>
      </c>
      <c r="CY31" s="21">
        <v>2</v>
      </c>
      <c r="CZ31" s="21">
        <v>1</v>
      </c>
      <c r="DA31" s="21">
        <v>120</v>
      </c>
      <c r="DB31" s="21">
        <v>40</v>
      </c>
      <c r="DC31" s="21">
        <v>60</v>
      </c>
      <c r="DD31" s="21">
        <v>15</v>
      </c>
      <c r="DE31" s="21">
        <v>10</v>
      </c>
      <c r="DF31" s="21">
        <v>0</v>
      </c>
      <c r="DG31" s="21">
        <v>0</v>
      </c>
      <c r="DH31" s="21">
        <v>200</v>
      </c>
      <c r="DI31" s="21">
        <v>30</v>
      </c>
      <c r="DJ31" s="17" t="s">
        <v>1624</v>
      </c>
      <c r="DK31" s="17" t="s">
        <v>1495</v>
      </c>
      <c r="DL31" s="22">
        <v>100</v>
      </c>
      <c r="DM31" s="17" t="s">
        <v>1625</v>
      </c>
      <c r="DN31" s="24" t="s">
        <v>182</v>
      </c>
      <c r="DO31" s="23"/>
      <c r="DP31" s="23"/>
      <c r="DQ31" s="23"/>
      <c r="DR31" s="23"/>
      <c r="DS31" s="23"/>
      <c r="DT31" s="23"/>
      <c r="DU31" s="23"/>
      <c r="DV31" s="23"/>
      <c r="DW31" s="24" t="s">
        <v>182</v>
      </c>
      <c r="DX31" s="25" t="s">
        <v>183</v>
      </c>
      <c r="DY31" s="25" t="s">
        <v>183</v>
      </c>
      <c r="DZ31" s="17" t="s">
        <v>1626</v>
      </c>
      <c r="EA31" s="17" t="s">
        <v>1627</v>
      </c>
      <c r="EB31" s="48" t="s">
        <v>239</v>
      </c>
      <c r="EC31" s="17" t="s">
        <v>1499</v>
      </c>
      <c r="ED31" s="27" t="s">
        <v>1518</v>
      </c>
      <c r="EE31" s="22">
        <v>1</v>
      </c>
      <c r="EF31" s="9" t="s">
        <v>1519</v>
      </c>
    </row>
    <row r="32" spans="1:136" ht="15" customHeight="1" x14ac:dyDescent="0.25">
      <c r="A32" s="16" t="s">
        <v>1563</v>
      </c>
      <c r="B32" s="29" t="s">
        <v>1479</v>
      </c>
      <c r="C32" s="29" t="s">
        <v>1564</v>
      </c>
      <c r="D32" s="30">
        <v>370.5</v>
      </c>
      <c r="E32" s="30">
        <v>12.9</v>
      </c>
      <c r="F32" s="30">
        <v>6.5</v>
      </c>
      <c r="G32" s="30">
        <v>58.6</v>
      </c>
      <c r="H32" s="30">
        <v>12</v>
      </c>
      <c r="I32" s="30">
        <v>47</v>
      </c>
      <c r="J32" s="30">
        <v>3.88</v>
      </c>
      <c r="K32" s="30">
        <v>188</v>
      </c>
      <c r="L32" s="30">
        <v>400</v>
      </c>
      <c r="M32" s="30">
        <v>563</v>
      </c>
      <c r="N32" s="30">
        <v>7</v>
      </c>
      <c r="O32" s="30">
        <v>3.27</v>
      </c>
      <c r="P32" s="30"/>
      <c r="Q32" s="30"/>
      <c r="R32" s="30">
        <v>4.8</v>
      </c>
      <c r="S32" s="30">
        <v>1</v>
      </c>
      <c r="T32" s="30">
        <v>2.13</v>
      </c>
      <c r="U32" s="30">
        <v>0</v>
      </c>
      <c r="V32" s="30">
        <v>0.33700000000000002</v>
      </c>
      <c r="W32" s="30">
        <v>2.3E-2</v>
      </c>
      <c r="X32" s="30">
        <v>0</v>
      </c>
      <c r="Y32" s="30">
        <v>0.38</v>
      </c>
      <c r="Z32" s="30">
        <v>0</v>
      </c>
      <c r="AA32" s="30">
        <v>184</v>
      </c>
      <c r="AB32" s="31">
        <v>2509</v>
      </c>
      <c r="AC32" s="31" t="s">
        <v>1565</v>
      </c>
      <c r="AD32" s="31" t="s">
        <v>1566</v>
      </c>
      <c r="AE32" s="31" t="s">
        <v>1567</v>
      </c>
      <c r="AF32" s="31"/>
      <c r="AG32" s="31" t="s">
        <v>1568</v>
      </c>
      <c r="AH32" s="31" t="s">
        <v>1569</v>
      </c>
      <c r="AI32" s="31" t="s">
        <v>155</v>
      </c>
      <c r="AJ32" s="31" t="s">
        <v>156</v>
      </c>
      <c r="AK32" s="31" t="s">
        <v>157</v>
      </c>
      <c r="AL32" s="31" t="s">
        <v>282</v>
      </c>
      <c r="AM32" s="31" t="s">
        <v>159</v>
      </c>
      <c r="AN32" s="31"/>
      <c r="AO32" s="31" t="s">
        <v>1570</v>
      </c>
      <c r="AP32" s="31" t="s">
        <v>1488</v>
      </c>
      <c r="AQ32" s="31" t="s">
        <v>362</v>
      </c>
      <c r="AR32" s="31">
        <v>14</v>
      </c>
      <c r="AS32" s="31">
        <v>18</v>
      </c>
      <c r="AT32" s="31">
        <v>2</v>
      </c>
      <c r="AU32" s="31">
        <v>35</v>
      </c>
      <c r="AV32" s="31">
        <v>500</v>
      </c>
      <c r="AW32" s="31">
        <v>1000</v>
      </c>
      <c r="AX32" s="31">
        <v>250</v>
      </c>
      <c r="AY32" s="31">
        <v>2600</v>
      </c>
      <c r="AZ32" s="31">
        <v>5.5</v>
      </c>
      <c r="BA32" s="31">
        <v>8</v>
      </c>
      <c r="BB32" s="31">
        <v>4.5</v>
      </c>
      <c r="BC32" s="31">
        <v>9.5</v>
      </c>
      <c r="BD32" s="31"/>
      <c r="BE32" s="31"/>
      <c r="BF32" s="31">
        <v>30</v>
      </c>
      <c r="BG32" s="31">
        <v>40</v>
      </c>
      <c r="BH32" s="31">
        <v>4000</v>
      </c>
      <c r="BI32" s="31" t="s">
        <v>163</v>
      </c>
      <c r="BJ32" s="31" t="s">
        <v>164</v>
      </c>
      <c r="BK32" s="31" t="s">
        <v>163</v>
      </c>
      <c r="BL32" s="31" t="s">
        <v>165</v>
      </c>
      <c r="BM32" s="31" t="s">
        <v>166</v>
      </c>
      <c r="BN32" s="31" t="s">
        <v>201</v>
      </c>
      <c r="BO32" s="31" t="s">
        <v>203</v>
      </c>
      <c r="BP32" s="31" t="s">
        <v>203</v>
      </c>
      <c r="BQ32" s="31" t="s">
        <v>170</v>
      </c>
      <c r="BR32" s="31" t="s">
        <v>230</v>
      </c>
      <c r="BS32" s="31"/>
      <c r="BT32" s="31"/>
      <c r="BU32" s="31" t="s">
        <v>171</v>
      </c>
      <c r="BV32" s="31" t="s">
        <v>231</v>
      </c>
      <c r="BW32" s="31" t="s">
        <v>172</v>
      </c>
      <c r="BX32" s="31" t="s">
        <v>172</v>
      </c>
      <c r="BY32" s="31">
        <v>-8</v>
      </c>
      <c r="BZ32" s="31">
        <v>-8</v>
      </c>
      <c r="CA32" s="31" t="s">
        <v>173</v>
      </c>
      <c r="CB32" s="31" t="s">
        <v>1571</v>
      </c>
      <c r="CC32" s="31"/>
      <c r="CD32" s="31"/>
      <c r="CE32" s="31"/>
      <c r="CF32" s="31"/>
      <c r="CG32" s="31">
        <v>90</v>
      </c>
      <c r="CH32" s="31">
        <v>240</v>
      </c>
      <c r="CI32" s="19">
        <v>0.9</v>
      </c>
      <c r="CJ32" s="19">
        <v>2.5</v>
      </c>
      <c r="CK32" s="19">
        <v>0.3</v>
      </c>
      <c r="CL32" s="19">
        <v>0.8</v>
      </c>
      <c r="CM32" s="17" t="s">
        <v>1530</v>
      </c>
      <c r="CN32" s="20">
        <v>0.5</v>
      </c>
      <c r="CO32" s="20">
        <v>4</v>
      </c>
      <c r="CP32" s="17" t="s">
        <v>1572</v>
      </c>
      <c r="CQ32" s="17" t="s">
        <v>899</v>
      </c>
      <c r="CR32" s="21">
        <v>4</v>
      </c>
      <c r="CS32" s="21">
        <v>2</v>
      </c>
      <c r="CT32" s="21">
        <v>5</v>
      </c>
      <c r="CU32" s="21">
        <v>2</v>
      </c>
      <c r="CV32" s="21">
        <v>2</v>
      </c>
      <c r="CW32" s="21">
        <v>0</v>
      </c>
      <c r="CX32" s="21">
        <v>2</v>
      </c>
      <c r="CY32" s="21">
        <v>5</v>
      </c>
      <c r="CZ32" s="21">
        <v>5</v>
      </c>
      <c r="DA32" s="21">
        <v>120</v>
      </c>
      <c r="DB32" s="21">
        <v>60</v>
      </c>
      <c r="DC32" s="21">
        <v>200</v>
      </c>
      <c r="DD32" s="21">
        <v>20</v>
      </c>
      <c r="DE32" s="21">
        <v>15</v>
      </c>
      <c r="DF32" s="21">
        <v>0</v>
      </c>
      <c r="DG32" s="21">
        <v>20</v>
      </c>
      <c r="DH32" s="21">
        <v>300</v>
      </c>
      <c r="DI32" s="21">
        <v>120</v>
      </c>
      <c r="DJ32" s="17" t="s">
        <v>1573</v>
      </c>
      <c r="DK32" s="17" t="s">
        <v>1495</v>
      </c>
      <c r="DL32" s="22">
        <v>100</v>
      </c>
      <c r="DM32" s="17" t="s">
        <v>1574</v>
      </c>
      <c r="DN32" s="24" t="s">
        <v>182</v>
      </c>
      <c r="DO32" s="25" t="s">
        <v>183</v>
      </c>
      <c r="DP32" s="25" t="s">
        <v>183</v>
      </c>
      <c r="DQ32" s="25" t="s">
        <v>183</v>
      </c>
      <c r="DR32" s="24" t="s">
        <v>182</v>
      </c>
      <c r="DS32" s="23"/>
      <c r="DT32" s="23"/>
      <c r="DU32" s="23"/>
      <c r="DV32" s="23"/>
      <c r="DW32" s="23"/>
      <c r="DX32" s="23"/>
      <c r="DY32" s="23"/>
      <c r="DZ32" s="17" t="s">
        <v>1575</v>
      </c>
      <c r="EA32" s="17" t="s">
        <v>1576</v>
      </c>
      <c r="EB32" s="48" t="s">
        <v>239</v>
      </c>
      <c r="EC32" s="17" t="s">
        <v>1499</v>
      </c>
      <c r="ED32" s="27" t="s">
        <v>1577</v>
      </c>
      <c r="EE32" s="22">
        <v>1</v>
      </c>
      <c r="EF32" s="9" t="s">
        <v>1578</v>
      </c>
    </row>
    <row r="33" spans="1:136" ht="15" customHeight="1" x14ac:dyDescent="0.25">
      <c r="A33" s="16" t="s">
        <v>2105</v>
      </c>
      <c r="B33" s="29" t="s">
        <v>1969</v>
      </c>
      <c r="C33" s="29" t="s">
        <v>2106</v>
      </c>
      <c r="D33" s="30">
        <v>545.70000000000005</v>
      </c>
      <c r="E33" s="30">
        <v>17</v>
      </c>
      <c r="F33" s="30">
        <v>48.6</v>
      </c>
      <c r="G33" s="30">
        <v>7.8</v>
      </c>
      <c r="H33" s="30">
        <v>7.7</v>
      </c>
      <c r="I33" s="30">
        <v>98</v>
      </c>
      <c r="J33" s="30">
        <v>3.1</v>
      </c>
      <c r="K33" s="30">
        <v>120</v>
      </c>
      <c r="L33" s="30">
        <v>470</v>
      </c>
      <c r="M33" s="30">
        <v>1000</v>
      </c>
      <c r="N33" s="30">
        <v>0</v>
      </c>
      <c r="O33" s="30">
        <v>2.2999999999999998</v>
      </c>
      <c r="P33" s="30">
        <v>0.97</v>
      </c>
      <c r="Q33" s="30">
        <v>1.3</v>
      </c>
      <c r="R33" s="30">
        <v>4.5999999999999996</v>
      </c>
      <c r="S33" s="30">
        <v>35</v>
      </c>
      <c r="T33" s="30">
        <v>2.4</v>
      </c>
      <c r="U33" s="30">
        <v>0</v>
      </c>
      <c r="V33" s="30">
        <v>0.41</v>
      </c>
      <c r="W33" s="30">
        <v>0.17</v>
      </c>
      <c r="X33" s="30">
        <v>1.7</v>
      </c>
      <c r="Y33" s="30">
        <v>0.53</v>
      </c>
      <c r="Z33" s="30">
        <v>0</v>
      </c>
      <c r="AA33" s="30">
        <v>70</v>
      </c>
      <c r="AB33" s="31">
        <v>2386</v>
      </c>
      <c r="AC33" s="31" t="s">
        <v>2107</v>
      </c>
      <c r="AD33" s="31" t="s">
        <v>221</v>
      </c>
      <c r="AE33" s="31" t="s">
        <v>1015</v>
      </c>
      <c r="AF33" s="31"/>
      <c r="AG33" s="31" t="s">
        <v>2108</v>
      </c>
      <c r="AH33" s="31" t="s">
        <v>2109</v>
      </c>
      <c r="AI33" s="31" t="s">
        <v>155</v>
      </c>
      <c r="AJ33" s="31" t="s">
        <v>337</v>
      </c>
      <c r="AK33" s="31" t="s">
        <v>157</v>
      </c>
      <c r="AL33" s="31" t="s">
        <v>314</v>
      </c>
      <c r="AM33" s="31"/>
      <c r="AN33" s="31" t="s">
        <v>417</v>
      </c>
      <c r="AO33" s="31" t="s">
        <v>933</v>
      </c>
      <c r="AP33" s="31" t="s">
        <v>340</v>
      </c>
      <c r="AQ33" s="31" t="s">
        <v>162</v>
      </c>
      <c r="AR33" s="31">
        <v>25</v>
      </c>
      <c r="AS33" s="31">
        <v>35</v>
      </c>
      <c r="AT33" s="31">
        <v>12</v>
      </c>
      <c r="AU33" s="31">
        <v>40</v>
      </c>
      <c r="AV33" s="31">
        <v>400</v>
      </c>
      <c r="AW33" s="31">
        <v>700</v>
      </c>
      <c r="AX33" s="31">
        <v>250</v>
      </c>
      <c r="AY33" s="31">
        <v>1100</v>
      </c>
      <c r="AZ33" s="31">
        <v>7</v>
      </c>
      <c r="BA33" s="31">
        <v>8</v>
      </c>
      <c r="BB33" s="31">
        <v>6</v>
      </c>
      <c r="BC33" s="31">
        <v>8.5</v>
      </c>
      <c r="BD33" s="31">
        <v>25</v>
      </c>
      <c r="BE33" s="31">
        <v>25</v>
      </c>
      <c r="BF33" s="31">
        <v>35</v>
      </c>
      <c r="BG33" s="31">
        <v>35</v>
      </c>
      <c r="BH33" s="31">
        <v>1200</v>
      </c>
      <c r="BI33" s="31" t="s">
        <v>163</v>
      </c>
      <c r="BJ33" s="31" t="s">
        <v>163</v>
      </c>
      <c r="BK33" s="31" t="s">
        <v>163</v>
      </c>
      <c r="BL33" s="31" t="s">
        <v>163</v>
      </c>
      <c r="BM33" s="31" t="s">
        <v>166</v>
      </c>
      <c r="BN33" s="31" t="s">
        <v>201</v>
      </c>
      <c r="BO33" s="31" t="s">
        <v>250</v>
      </c>
      <c r="BP33" s="31" t="s">
        <v>203</v>
      </c>
      <c r="BQ33" s="31" t="s">
        <v>170</v>
      </c>
      <c r="BR33" s="31" t="s">
        <v>230</v>
      </c>
      <c r="BS33" s="31"/>
      <c r="BT33" s="31"/>
      <c r="BU33" s="31" t="s">
        <v>171</v>
      </c>
      <c r="BV33" s="31" t="s">
        <v>231</v>
      </c>
      <c r="BW33" s="31" t="s">
        <v>172</v>
      </c>
      <c r="BX33" s="31" t="s">
        <v>290</v>
      </c>
      <c r="BY33" s="31">
        <v>-18</v>
      </c>
      <c r="BZ33" s="31">
        <v>-1</v>
      </c>
      <c r="CA33" s="31" t="s">
        <v>291</v>
      </c>
      <c r="CB33" s="31" t="s">
        <v>2110</v>
      </c>
      <c r="CC33" s="31"/>
      <c r="CD33" s="31"/>
      <c r="CE33" s="31"/>
      <c r="CF33" s="31" t="s">
        <v>850</v>
      </c>
      <c r="CG33" s="31">
        <v>150</v>
      </c>
      <c r="CH33" s="31">
        <v>180</v>
      </c>
      <c r="CI33" s="19">
        <v>5</v>
      </c>
      <c r="CJ33" s="19">
        <v>10</v>
      </c>
      <c r="CK33" s="19">
        <v>5</v>
      </c>
      <c r="CL33" s="19">
        <v>8</v>
      </c>
      <c r="CM33" s="17" t="s">
        <v>868</v>
      </c>
      <c r="CN33" s="20">
        <v>0.5</v>
      </c>
      <c r="CO33" s="20">
        <v>4</v>
      </c>
      <c r="CP33" s="17" t="s">
        <v>2111</v>
      </c>
      <c r="CQ33" s="17" t="s">
        <v>365</v>
      </c>
      <c r="CR33" s="21">
        <v>0</v>
      </c>
      <c r="CS33" s="21">
        <v>0</v>
      </c>
      <c r="CT33" s="21">
        <v>4</v>
      </c>
      <c r="CU33" s="21">
        <v>4</v>
      </c>
      <c r="CV33" s="21">
        <v>6</v>
      </c>
      <c r="CW33" s="21">
        <v>8</v>
      </c>
      <c r="CX33" s="21">
        <v>5</v>
      </c>
      <c r="CY33" s="21">
        <v>5</v>
      </c>
      <c r="CZ33" s="21">
        <v>3</v>
      </c>
      <c r="DA33" s="21">
        <v>0</v>
      </c>
      <c r="DB33" s="21">
        <v>0</v>
      </c>
      <c r="DC33" s="21">
        <v>30</v>
      </c>
      <c r="DD33" s="21">
        <v>25</v>
      </c>
      <c r="DE33" s="21">
        <v>40</v>
      </c>
      <c r="DF33" s="21">
        <v>60</v>
      </c>
      <c r="DG33" s="21">
        <v>35</v>
      </c>
      <c r="DH33" s="21">
        <v>200</v>
      </c>
      <c r="DI33" s="21">
        <v>60</v>
      </c>
      <c r="DJ33" s="17" t="s">
        <v>2112</v>
      </c>
      <c r="DK33" s="17" t="s">
        <v>1979</v>
      </c>
      <c r="DL33" s="22">
        <v>30</v>
      </c>
      <c r="DM33" s="17" t="s">
        <v>2113</v>
      </c>
      <c r="DN33" s="24" t="s">
        <v>182</v>
      </c>
      <c r="DO33" s="25" t="s">
        <v>183</v>
      </c>
      <c r="DP33" s="25" t="s">
        <v>183</v>
      </c>
      <c r="DQ33" s="24" t="s">
        <v>182</v>
      </c>
      <c r="DR33" s="23"/>
      <c r="DS33" s="23"/>
      <c r="DT33" s="23"/>
      <c r="DU33" s="23"/>
      <c r="DV33" s="23"/>
      <c r="DW33" s="23"/>
      <c r="DX33" s="23"/>
      <c r="DY33" s="23"/>
      <c r="DZ33" s="17" t="s">
        <v>2114</v>
      </c>
      <c r="EA33" s="17" t="s">
        <v>2115</v>
      </c>
      <c r="EB33" s="48" t="s">
        <v>239</v>
      </c>
      <c r="EC33" s="17" t="s">
        <v>2116</v>
      </c>
      <c r="ED33" s="27" t="s">
        <v>1595</v>
      </c>
      <c r="EE33" s="22">
        <v>2</v>
      </c>
      <c r="EF33" s="49" t="s">
        <v>2058</v>
      </c>
    </row>
    <row r="34" spans="1:136" ht="15" customHeight="1" x14ac:dyDescent="0.25">
      <c r="A34" s="16" t="s">
        <v>1649</v>
      </c>
      <c r="B34" s="29" t="s">
        <v>1479</v>
      </c>
      <c r="C34" s="29" t="s">
        <v>1650</v>
      </c>
      <c r="D34" s="30">
        <v>246.2</v>
      </c>
      <c r="E34" s="30">
        <v>13.3</v>
      </c>
      <c r="F34" s="30">
        <v>2.4</v>
      </c>
      <c r="G34" s="30">
        <v>38.4</v>
      </c>
      <c r="H34" s="30">
        <v>8</v>
      </c>
      <c r="I34" s="30">
        <v>180</v>
      </c>
      <c r="J34" s="30">
        <v>7.63</v>
      </c>
      <c r="K34" s="30">
        <v>184</v>
      </c>
      <c r="L34" s="30">
        <v>429</v>
      </c>
      <c r="M34" s="30">
        <v>427</v>
      </c>
      <c r="N34" s="30">
        <v>12</v>
      </c>
      <c r="O34" s="30">
        <v>3.63</v>
      </c>
      <c r="P34" s="30"/>
      <c r="Q34" s="30"/>
      <c r="R34" s="30">
        <v>4.4000000000000004</v>
      </c>
      <c r="S34" s="30">
        <v>1</v>
      </c>
      <c r="T34" s="30">
        <v>0.08</v>
      </c>
      <c r="U34" s="30">
        <v>0</v>
      </c>
      <c r="V34" s="30">
        <v>0.39</v>
      </c>
      <c r="W34" s="30">
        <v>0.27</v>
      </c>
      <c r="X34" s="30">
        <v>3.36</v>
      </c>
      <c r="Y34" s="30">
        <v>0.48</v>
      </c>
      <c r="Z34" s="30">
        <v>0</v>
      </c>
      <c r="AA34" s="30">
        <v>23</v>
      </c>
      <c r="AB34" s="31">
        <v>5746</v>
      </c>
      <c r="AC34" s="31" t="s">
        <v>1651</v>
      </c>
      <c r="AD34" s="31" t="s">
        <v>1652</v>
      </c>
      <c r="AE34" s="31" t="s">
        <v>1505</v>
      </c>
      <c r="AF34" s="31" t="s">
        <v>1653</v>
      </c>
      <c r="AG34" s="31" t="s">
        <v>1654</v>
      </c>
      <c r="AH34" s="31" t="s">
        <v>1655</v>
      </c>
      <c r="AI34" s="31" t="s">
        <v>155</v>
      </c>
      <c r="AJ34" s="31" t="s">
        <v>1509</v>
      </c>
      <c r="AK34" s="31" t="s">
        <v>157</v>
      </c>
      <c r="AL34" s="31" t="s">
        <v>282</v>
      </c>
      <c r="AM34" s="31" t="s">
        <v>159</v>
      </c>
      <c r="AN34" s="31"/>
      <c r="AO34" s="31" t="s">
        <v>1656</v>
      </c>
      <c r="AP34" s="31" t="s">
        <v>1488</v>
      </c>
      <c r="AQ34" s="31" t="s">
        <v>162</v>
      </c>
      <c r="AR34" s="31">
        <v>22</v>
      </c>
      <c r="AS34" s="31">
        <v>28</v>
      </c>
      <c r="AT34" s="31">
        <v>2</v>
      </c>
      <c r="AU34" s="31">
        <v>30</v>
      </c>
      <c r="AV34" s="31">
        <v>600</v>
      </c>
      <c r="AW34" s="31">
        <v>1200</v>
      </c>
      <c r="AX34" s="31">
        <v>300</v>
      </c>
      <c r="AY34" s="31">
        <v>2500</v>
      </c>
      <c r="AZ34" s="31">
        <v>5.5</v>
      </c>
      <c r="BA34" s="31">
        <v>6.5</v>
      </c>
      <c r="BB34" s="31">
        <v>5</v>
      </c>
      <c r="BC34" s="31">
        <v>8.1999999999999993</v>
      </c>
      <c r="BD34" s="31">
        <v>5</v>
      </c>
      <c r="BE34" s="31"/>
      <c r="BF34" s="31">
        <v>20</v>
      </c>
      <c r="BG34" s="31">
        <v>45</v>
      </c>
      <c r="BH34" s="31">
        <v>2800</v>
      </c>
      <c r="BI34" s="31" t="s">
        <v>163</v>
      </c>
      <c r="BJ34" s="31" t="s">
        <v>163</v>
      </c>
      <c r="BK34" s="31" t="s">
        <v>163</v>
      </c>
      <c r="BL34" s="31" t="s">
        <v>164</v>
      </c>
      <c r="BM34" s="31" t="s">
        <v>201</v>
      </c>
      <c r="BN34" s="31" t="s">
        <v>201</v>
      </c>
      <c r="BO34" s="31" t="s">
        <v>250</v>
      </c>
      <c r="BP34" s="31" t="s">
        <v>203</v>
      </c>
      <c r="BQ34" s="31" t="s">
        <v>170</v>
      </c>
      <c r="BR34" s="31" t="s">
        <v>230</v>
      </c>
      <c r="BS34" s="31"/>
      <c r="BT34" s="31"/>
      <c r="BU34" s="31" t="s">
        <v>171</v>
      </c>
      <c r="BV34" s="31" t="s">
        <v>171</v>
      </c>
      <c r="BW34" s="31" t="s">
        <v>172</v>
      </c>
      <c r="BX34" s="31" t="s">
        <v>882</v>
      </c>
      <c r="BY34" s="31"/>
      <c r="BZ34" s="31"/>
      <c r="CA34" s="31" t="s">
        <v>173</v>
      </c>
      <c r="CB34" s="31" t="s">
        <v>1358</v>
      </c>
      <c r="CC34" s="31"/>
      <c r="CD34" s="31" t="s">
        <v>964</v>
      </c>
      <c r="CE34" s="31"/>
      <c r="CF34" s="31"/>
      <c r="CG34" s="31">
        <v>65</v>
      </c>
      <c r="CH34" s="31">
        <v>150</v>
      </c>
      <c r="CI34" s="19">
        <v>0.4</v>
      </c>
      <c r="CJ34" s="19">
        <v>1.2</v>
      </c>
      <c r="CK34" s="19">
        <v>0.1</v>
      </c>
      <c r="CL34" s="19">
        <v>0.2</v>
      </c>
      <c r="CM34" s="17" t="s">
        <v>1657</v>
      </c>
      <c r="CN34" s="20">
        <v>0.5</v>
      </c>
      <c r="CO34" s="20">
        <v>2.5</v>
      </c>
      <c r="CP34" s="17" t="s">
        <v>1658</v>
      </c>
      <c r="CQ34" s="17" t="s">
        <v>899</v>
      </c>
      <c r="CR34" s="21">
        <v>8</v>
      </c>
      <c r="CS34" s="21">
        <v>3</v>
      </c>
      <c r="CT34" s="21">
        <v>5</v>
      </c>
      <c r="CU34" s="21">
        <v>2</v>
      </c>
      <c r="CV34" s="21">
        <v>1</v>
      </c>
      <c r="CW34" s="21">
        <v>0</v>
      </c>
      <c r="CX34" s="21">
        <v>1</v>
      </c>
      <c r="CY34" s="21">
        <v>10</v>
      </c>
      <c r="CZ34" s="21">
        <v>5</v>
      </c>
      <c r="DA34" s="21">
        <v>200</v>
      </c>
      <c r="DB34" s="21">
        <v>80</v>
      </c>
      <c r="DC34" s="21">
        <v>200</v>
      </c>
      <c r="DD34" s="21">
        <v>20</v>
      </c>
      <c r="DE34" s="21">
        <v>10</v>
      </c>
      <c r="DF34" s="21">
        <v>0</v>
      </c>
      <c r="DG34" s="21">
        <v>10</v>
      </c>
      <c r="DH34" s="21">
        <v>400</v>
      </c>
      <c r="DI34" s="21">
        <v>100</v>
      </c>
      <c r="DJ34" s="17" t="s">
        <v>1659</v>
      </c>
      <c r="DK34" s="17" t="s">
        <v>1495</v>
      </c>
      <c r="DL34" s="22">
        <v>100</v>
      </c>
      <c r="DM34" s="17" t="s">
        <v>1660</v>
      </c>
      <c r="DN34" s="23"/>
      <c r="DO34" s="24" t="s">
        <v>182</v>
      </c>
      <c r="DP34" s="25" t="s">
        <v>183</v>
      </c>
      <c r="DQ34" s="25" t="s">
        <v>183</v>
      </c>
      <c r="DR34" s="24" t="s">
        <v>182</v>
      </c>
      <c r="DS34" s="23"/>
      <c r="DT34" s="23"/>
      <c r="DU34" s="23"/>
      <c r="DV34" s="23"/>
      <c r="DW34" s="23"/>
      <c r="DX34" s="23"/>
      <c r="DY34" s="23"/>
      <c r="DZ34" s="17" t="s">
        <v>1661</v>
      </c>
      <c r="EA34" s="17" t="s">
        <v>1662</v>
      </c>
      <c r="EB34" s="48" t="s">
        <v>239</v>
      </c>
      <c r="EC34" s="17" t="s">
        <v>1499</v>
      </c>
      <c r="ED34" s="27" t="s">
        <v>1500</v>
      </c>
      <c r="EE34" s="22">
        <v>1</v>
      </c>
      <c r="EF34" s="9" t="s">
        <v>1501</v>
      </c>
    </row>
    <row r="35" spans="1:136" ht="15" customHeight="1" x14ac:dyDescent="0.25">
      <c r="A35" s="16" t="s">
        <v>742</v>
      </c>
      <c r="B35" s="17" t="s">
        <v>409</v>
      </c>
      <c r="C35" s="17" t="s">
        <v>743</v>
      </c>
      <c r="D35" s="18">
        <v>282</v>
      </c>
      <c r="E35" s="18">
        <v>2.4500000000000002</v>
      </c>
      <c r="F35" s="18">
        <v>75.03</v>
      </c>
      <c r="G35" s="18">
        <v>8</v>
      </c>
      <c r="H35" s="18">
        <v>0.39</v>
      </c>
      <c r="I35" s="18">
        <v>39</v>
      </c>
      <c r="J35" s="18">
        <v>1.02</v>
      </c>
      <c r="K35" s="18">
        <v>43</v>
      </c>
      <c r="L35" s="18">
        <v>62</v>
      </c>
      <c r="M35" s="18">
        <v>656</v>
      </c>
      <c r="N35" s="18">
        <v>2</v>
      </c>
      <c r="O35" s="18">
        <v>0.28999999999999998</v>
      </c>
      <c r="P35" s="18">
        <v>0.20599999999999999</v>
      </c>
      <c r="Q35" s="18">
        <v>0.26200000000000001</v>
      </c>
      <c r="R35" s="18">
        <v>3</v>
      </c>
      <c r="S35" s="18">
        <v>10</v>
      </c>
      <c r="T35" s="18">
        <v>0.05</v>
      </c>
      <c r="U35" s="18">
        <v>0.4</v>
      </c>
      <c r="V35" s="18">
        <v>5.1999999999999998E-2</v>
      </c>
      <c r="W35" s="18">
        <v>6.6000000000000003E-2</v>
      </c>
      <c r="X35" s="18">
        <v>1.274</v>
      </c>
      <c r="Y35" s="18">
        <v>0.16500000000000001</v>
      </c>
      <c r="Z35" s="18">
        <v>0</v>
      </c>
      <c r="AA35" s="18">
        <v>19</v>
      </c>
      <c r="AB35" s="18">
        <v>1673</v>
      </c>
      <c r="AC35" s="18" t="s">
        <v>744</v>
      </c>
      <c r="AD35" s="18" t="s">
        <v>221</v>
      </c>
      <c r="AE35" s="18" t="s">
        <v>334</v>
      </c>
      <c r="AF35" s="18">
        <v>0</v>
      </c>
      <c r="AG35" s="18" t="s">
        <v>745</v>
      </c>
      <c r="AH35" s="18" t="s">
        <v>746</v>
      </c>
      <c r="AI35" s="18" t="s">
        <v>226</v>
      </c>
      <c r="AJ35" s="18" t="s">
        <v>337</v>
      </c>
      <c r="AK35" s="18" t="s">
        <v>157</v>
      </c>
      <c r="AL35" s="18" t="s">
        <v>314</v>
      </c>
      <c r="AM35" s="18">
        <v>0</v>
      </c>
      <c r="AN35" s="18" t="s">
        <v>338</v>
      </c>
      <c r="AO35" s="18" t="s">
        <v>419</v>
      </c>
      <c r="AP35" s="18" t="s">
        <v>419</v>
      </c>
      <c r="AQ35" s="18" t="s">
        <v>162</v>
      </c>
      <c r="AR35" s="18">
        <v>26</v>
      </c>
      <c r="AS35" s="18">
        <v>45</v>
      </c>
      <c r="AT35" s="18">
        <v>10</v>
      </c>
      <c r="AU35" s="18">
        <v>52</v>
      </c>
      <c r="AV35" s="18">
        <v>200</v>
      </c>
      <c r="AW35" s="18">
        <v>300</v>
      </c>
      <c r="AX35" s="18">
        <v>100</v>
      </c>
      <c r="AY35" s="18">
        <v>400</v>
      </c>
      <c r="AZ35" s="18">
        <v>6.5</v>
      </c>
      <c r="BA35" s="18">
        <v>8</v>
      </c>
      <c r="BB35" s="18">
        <v>6</v>
      </c>
      <c r="BC35" s="18">
        <v>8.5</v>
      </c>
      <c r="BD35" s="18">
        <v>10</v>
      </c>
      <c r="BE35" s="18">
        <v>0</v>
      </c>
      <c r="BF35" s="18">
        <v>35</v>
      </c>
      <c r="BG35" s="18">
        <v>40</v>
      </c>
      <c r="BH35" s="18">
        <v>1500</v>
      </c>
      <c r="BI35" s="18" t="s">
        <v>163</v>
      </c>
      <c r="BJ35" s="18" t="s">
        <v>163</v>
      </c>
      <c r="BK35" s="18" t="s">
        <v>163</v>
      </c>
      <c r="BL35" s="18" t="s">
        <v>163</v>
      </c>
      <c r="BM35" s="18" t="s">
        <v>288</v>
      </c>
      <c r="BN35" s="18" t="s">
        <v>201</v>
      </c>
      <c r="BO35" s="51" t="s">
        <v>250</v>
      </c>
      <c r="BP35" s="51" t="s">
        <v>747</v>
      </c>
      <c r="BQ35" s="51" t="s">
        <v>169</v>
      </c>
      <c r="BR35" s="51" t="s">
        <v>170</v>
      </c>
      <c r="BS35" s="51">
        <v>0</v>
      </c>
      <c r="BT35" s="51">
        <v>0</v>
      </c>
      <c r="BU35" s="51" t="s">
        <v>171</v>
      </c>
      <c r="BV35" s="51" t="s">
        <v>748</v>
      </c>
      <c r="BW35" s="51" t="s">
        <v>172</v>
      </c>
      <c r="BX35" s="51" t="s">
        <v>290</v>
      </c>
      <c r="BY35" s="51">
        <v>-15</v>
      </c>
      <c r="BZ35" s="51">
        <v>-4</v>
      </c>
      <c r="CA35" s="51" t="s">
        <v>291</v>
      </c>
      <c r="CB35" s="51" t="s">
        <v>749</v>
      </c>
      <c r="CC35" s="51">
        <v>0</v>
      </c>
      <c r="CD35" s="51">
        <v>0</v>
      </c>
      <c r="CE35" s="51">
        <v>0</v>
      </c>
      <c r="CF35" s="51">
        <v>0</v>
      </c>
      <c r="CG35" s="51">
        <v>365</v>
      </c>
      <c r="CH35" s="51">
        <v>365</v>
      </c>
      <c r="CI35" s="32">
        <v>15</v>
      </c>
      <c r="CJ35" s="32">
        <v>25</v>
      </c>
      <c r="CK35" s="32">
        <v>4</v>
      </c>
      <c r="CL35" s="32">
        <v>8</v>
      </c>
      <c r="CM35" s="33" t="s">
        <v>343</v>
      </c>
      <c r="CN35" s="34">
        <v>5</v>
      </c>
      <c r="CO35" s="34">
        <v>20</v>
      </c>
      <c r="CP35" s="35" t="s">
        <v>750</v>
      </c>
      <c r="CQ35" s="35" t="s">
        <v>209</v>
      </c>
      <c r="CR35" s="36">
        <v>0</v>
      </c>
      <c r="CS35" s="36">
        <v>0</v>
      </c>
      <c r="CT35" s="36">
        <v>5</v>
      </c>
      <c r="CU35" s="36">
        <v>4</v>
      </c>
      <c r="CV35" s="36">
        <v>5</v>
      </c>
      <c r="CW35" s="36">
        <v>10</v>
      </c>
      <c r="CX35" s="36">
        <v>8</v>
      </c>
      <c r="CY35" s="36">
        <v>30</v>
      </c>
      <c r="CZ35" s="36">
        <v>10</v>
      </c>
      <c r="DA35" s="37">
        <v>0</v>
      </c>
      <c r="DB35" s="37">
        <v>0</v>
      </c>
      <c r="DC35" s="37">
        <v>40</v>
      </c>
      <c r="DD35" s="37">
        <v>25</v>
      </c>
      <c r="DE35" s="37">
        <v>35</v>
      </c>
      <c r="DF35" s="37">
        <v>80</v>
      </c>
      <c r="DG35" s="37">
        <v>60</v>
      </c>
      <c r="DH35" s="37">
        <v>500</v>
      </c>
      <c r="DI35" s="37">
        <v>150</v>
      </c>
      <c r="DJ35" s="38" t="s">
        <v>751</v>
      </c>
      <c r="DK35" s="39" t="s">
        <v>409</v>
      </c>
      <c r="DL35" s="40">
        <v>30</v>
      </c>
      <c r="DM35" s="39" t="s">
        <v>752</v>
      </c>
      <c r="DN35" s="41"/>
      <c r="DO35" s="24" t="s">
        <v>182</v>
      </c>
      <c r="DP35" s="25" t="s">
        <v>183</v>
      </c>
      <c r="DQ35" s="25" t="s">
        <v>183</v>
      </c>
      <c r="DR35" s="25" t="s">
        <v>183</v>
      </c>
      <c r="DS35" s="24" t="s">
        <v>182</v>
      </c>
      <c r="DT35" s="41"/>
      <c r="DU35" s="41"/>
      <c r="DV35" s="41"/>
      <c r="DW35" s="41"/>
      <c r="DX35" s="41"/>
      <c r="DY35" s="41"/>
      <c r="DZ35" s="42" t="s">
        <v>753</v>
      </c>
      <c r="EA35" s="42" t="s">
        <v>754</v>
      </c>
      <c r="EB35" s="48" t="s">
        <v>239</v>
      </c>
      <c r="EC35" s="44" t="s">
        <v>755</v>
      </c>
      <c r="ED35" s="45" t="s">
        <v>756</v>
      </c>
      <c r="EE35" s="46">
        <v>4</v>
      </c>
      <c r="EF35" s="53" t="s">
        <v>757</v>
      </c>
    </row>
    <row r="36" spans="1:136" ht="15" customHeight="1" x14ac:dyDescent="0.25">
      <c r="A36" s="16" t="s">
        <v>1606</v>
      </c>
      <c r="B36" s="17" t="s">
        <v>1479</v>
      </c>
      <c r="C36" s="17" t="s">
        <v>1607</v>
      </c>
      <c r="D36" s="18">
        <v>359.7</v>
      </c>
      <c r="E36" s="18">
        <v>14.7</v>
      </c>
      <c r="F36" s="18">
        <v>1.1000000000000001</v>
      </c>
      <c r="G36" s="18">
        <v>68.7</v>
      </c>
      <c r="H36" s="18">
        <v>6.2</v>
      </c>
      <c r="I36" s="18">
        <v>21</v>
      </c>
      <c r="J36" s="18">
        <v>1.96</v>
      </c>
      <c r="K36" s="18">
        <v>177</v>
      </c>
      <c r="L36" s="18">
        <v>433</v>
      </c>
      <c r="M36" s="18">
        <v>427</v>
      </c>
      <c r="N36" s="18">
        <v>7</v>
      </c>
      <c r="O36" s="18">
        <v>5.96</v>
      </c>
      <c r="P36" s="18"/>
      <c r="Q36" s="18"/>
      <c r="R36" s="18">
        <v>2.8</v>
      </c>
      <c r="S36" s="18">
        <v>2</v>
      </c>
      <c r="T36" s="18">
        <v>0.82</v>
      </c>
      <c r="U36" s="18">
        <v>0</v>
      </c>
      <c r="V36" s="18">
        <v>0.115</v>
      </c>
      <c r="W36" s="18">
        <v>0.26200000000000001</v>
      </c>
      <c r="X36" s="18">
        <v>6.73</v>
      </c>
      <c r="Y36" s="18">
        <v>0.39</v>
      </c>
      <c r="Z36" s="18">
        <v>0</v>
      </c>
      <c r="AA36" s="18">
        <v>95</v>
      </c>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32">
        <v>1</v>
      </c>
      <c r="CJ36" s="32">
        <v>2.5</v>
      </c>
      <c r="CK36" s="32">
        <v>0.3</v>
      </c>
      <c r="CL36" s="32">
        <v>0.6</v>
      </c>
      <c r="CM36" s="33" t="s">
        <v>1608</v>
      </c>
      <c r="CN36" s="34">
        <v>0.3</v>
      </c>
      <c r="CO36" s="34">
        <v>1.5</v>
      </c>
      <c r="CP36" s="35" t="s">
        <v>1609</v>
      </c>
      <c r="CQ36" s="35" t="s">
        <v>1610</v>
      </c>
      <c r="CR36" s="36">
        <v>3</v>
      </c>
      <c r="CS36" s="36">
        <v>2</v>
      </c>
      <c r="CT36" s="36">
        <v>2</v>
      </c>
      <c r="CU36" s="36">
        <v>1</v>
      </c>
      <c r="CV36" s="36">
        <v>1</v>
      </c>
      <c r="CW36" s="36">
        <v>0</v>
      </c>
      <c r="CX36" s="36">
        <v>3</v>
      </c>
      <c r="CY36" s="36">
        <v>10</v>
      </c>
      <c r="CZ36" s="36">
        <v>3</v>
      </c>
      <c r="DA36" s="37">
        <v>80</v>
      </c>
      <c r="DB36" s="37">
        <v>60</v>
      </c>
      <c r="DC36" s="37">
        <v>100</v>
      </c>
      <c r="DD36" s="37">
        <v>10</v>
      </c>
      <c r="DE36" s="37">
        <v>10</v>
      </c>
      <c r="DF36" s="37">
        <v>0</v>
      </c>
      <c r="DG36" s="37">
        <v>40</v>
      </c>
      <c r="DH36" s="37">
        <v>300</v>
      </c>
      <c r="DI36" s="37">
        <v>60</v>
      </c>
      <c r="DJ36" s="38" t="s">
        <v>1611</v>
      </c>
      <c r="DK36" s="39" t="s">
        <v>1495</v>
      </c>
      <c r="DL36" s="40">
        <v>100</v>
      </c>
      <c r="DM36" s="39" t="s">
        <v>1612</v>
      </c>
      <c r="DN36" s="41"/>
      <c r="DO36" s="24" t="s">
        <v>182</v>
      </c>
      <c r="DP36" s="25" t="s">
        <v>183</v>
      </c>
      <c r="DQ36" s="25" t="s">
        <v>183</v>
      </c>
      <c r="DR36" s="24" t="s">
        <v>182</v>
      </c>
      <c r="DS36" s="41"/>
      <c r="DT36" s="41"/>
      <c r="DU36" s="41"/>
      <c r="DV36" s="41"/>
      <c r="DW36" s="41"/>
      <c r="DX36" s="41"/>
      <c r="DY36" s="41"/>
      <c r="DZ36" s="42" t="s">
        <v>1613</v>
      </c>
      <c r="EA36" s="42" t="s">
        <v>1614</v>
      </c>
      <c r="EB36" s="48" t="s">
        <v>239</v>
      </c>
      <c r="EC36" s="44" t="s">
        <v>1499</v>
      </c>
      <c r="ED36" s="45" t="s">
        <v>1518</v>
      </c>
      <c r="EE36" s="46">
        <v>2</v>
      </c>
      <c r="EF36" s="57" t="s">
        <v>1519</v>
      </c>
    </row>
    <row r="37" spans="1:136" ht="15" customHeight="1" x14ac:dyDescent="0.25">
      <c r="A37" s="16" t="s">
        <v>2117</v>
      </c>
      <c r="B37" s="17" t="s">
        <v>1969</v>
      </c>
      <c r="C37" s="17" t="s">
        <v>2118</v>
      </c>
      <c r="D37" s="18">
        <v>694.1</v>
      </c>
      <c r="E37" s="18">
        <v>14.4</v>
      </c>
      <c r="F37" s="18">
        <v>69.2</v>
      </c>
      <c r="G37" s="18">
        <v>3</v>
      </c>
      <c r="H37" s="18">
        <v>6.4</v>
      </c>
      <c r="I37" s="18">
        <v>89</v>
      </c>
      <c r="J37" s="18">
        <v>2.5</v>
      </c>
      <c r="K37" s="18">
        <v>150</v>
      </c>
      <c r="L37" s="18">
        <v>370</v>
      </c>
      <c r="M37" s="18">
        <v>440</v>
      </c>
      <c r="N37" s="18">
        <v>3</v>
      </c>
      <c r="O37" s="18">
        <v>2.5299999999999998</v>
      </c>
      <c r="P37" s="18">
        <v>1.4</v>
      </c>
      <c r="Q37" s="18">
        <v>3.2</v>
      </c>
      <c r="R37" s="18">
        <v>2</v>
      </c>
      <c r="S37" s="18">
        <v>4</v>
      </c>
      <c r="T37" s="18">
        <v>2.6</v>
      </c>
      <c r="U37" s="18">
        <v>0</v>
      </c>
      <c r="V37" s="18">
        <v>0.33</v>
      </c>
      <c r="W37" s="18">
        <v>0.18</v>
      </c>
      <c r="X37" s="18">
        <v>1.4</v>
      </c>
      <c r="Y37" s="18">
        <v>0.43</v>
      </c>
      <c r="Z37" s="18">
        <v>0</v>
      </c>
      <c r="AA37" s="18">
        <v>70</v>
      </c>
      <c r="AB37" s="18">
        <v>2315</v>
      </c>
      <c r="AC37" s="18" t="s">
        <v>2119</v>
      </c>
      <c r="AD37" s="18" t="s">
        <v>221</v>
      </c>
      <c r="AE37" s="18" t="s">
        <v>2080</v>
      </c>
      <c r="AF37" s="18"/>
      <c r="AG37" s="18" t="s">
        <v>2120</v>
      </c>
      <c r="AH37" s="18" t="s">
        <v>2121</v>
      </c>
      <c r="AI37" s="18" t="s">
        <v>155</v>
      </c>
      <c r="AJ37" s="18" t="s">
        <v>337</v>
      </c>
      <c r="AK37" s="18" t="s">
        <v>157</v>
      </c>
      <c r="AL37" s="18" t="s">
        <v>314</v>
      </c>
      <c r="AM37" s="18"/>
      <c r="AN37" s="18" t="s">
        <v>417</v>
      </c>
      <c r="AO37" s="18" t="s">
        <v>2122</v>
      </c>
      <c r="AP37" s="18" t="s">
        <v>340</v>
      </c>
      <c r="AQ37" s="18" t="s">
        <v>162</v>
      </c>
      <c r="AR37" s="18">
        <v>15</v>
      </c>
      <c r="AS37" s="18">
        <v>30</v>
      </c>
      <c r="AT37" s="18">
        <v>7</v>
      </c>
      <c r="AU37" s="18">
        <v>40</v>
      </c>
      <c r="AV37" s="18">
        <v>800</v>
      </c>
      <c r="AW37" s="18">
        <v>1700</v>
      </c>
      <c r="AX37" s="18">
        <v>400</v>
      </c>
      <c r="AY37" s="18">
        <v>2200</v>
      </c>
      <c r="AZ37" s="18">
        <v>5.5</v>
      </c>
      <c r="BA37" s="18">
        <v>6.5</v>
      </c>
      <c r="BB37" s="18">
        <v>4.5</v>
      </c>
      <c r="BC37" s="18">
        <v>8.3000000000000007</v>
      </c>
      <c r="BD37" s="18">
        <v>30</v>
      </c>
      <c r="BE37" s="18">
        <v>30</v>
      </c>
      <c r="BF37" s="18">
        <v>60</v>
      </c>
      <c r="BG37" s="18">
        <v>60</v>
      </c>
      <c r="BH37" s="18">
        <v>3650</v>
      </c>
      <c r="BI37" s="18" t="s">
        <v>163</v>
      </c>
      <c r="BJ37" s="18" t="s">
        <v>163</v>
      </c>
      <c r="BK37" s="18" t="s">
        <v>163</v>
      </c>
      <c r="BL37" s="18" t="s">
        <v>165</v>
      </c>
      <c r="BM37" s="18" t="s">
        <v>288</v>
      </c>
      <c r="BN37" s="18" t="s">
        <v>288</v>
      </c>
      <c r="BO37" s="18" t="s">
        <v>202</v>
      </c>
      <c r="BP37" s="18" t="s">
        <v>203</v>
      </c>
      <c r="BQ37" s="18" t="s">
        <v>169</v>
      </c>
      <c r="BR37" s="18" t="s">
        <v>170</v>
      </c>
      <c r="BS37" s="18"/>
      <c r="BT37" s="18"/>
      <c r="BU37" s="18" t="s">
        <v>171</v>
      </c>
      <c r="BV37" s="18" t="s">
        <v>171</v>
      </c>
      <c r="BW37" s="18" t="s">
        <v>172</v>
      </c>
      <c r="BX37" s="18" t="s">
        <v>172</v>
      </c>
      <c r="BY37" s="18">
        <v>-24</v>
      </c>
      <c r="BZ37" s="18">
        <v>-2</v>
      </c>
      <c r="CA37" s="18" t="s">
        <v>204</v>
      </c>
      <c r="CB37" s="18" t="s">
        <v>638</v>
      </c>
      <c r="CC37" s="18"/>
      <c r="CD37" s="18"/>
      <c r="CE37" s="18"/>
      <c r="CF37" s="18" t="s">
        <v>850</v>
      </c>
      <c r="CG37" s="18">
        <v>150</v>
      </c>
      <c r="CH37" s="18">
        <v>180</v>
      </c>
      <c r="CI37" s="32">
        <v>15</v>
      </c>
      <c r="CJ37" s="32">
        <v>25</v>
      </c>
      <c r="CK37" s="32">
        <v>10</v>
      </c>
      <c r="CL37" s="32">
        <v>20</v>
      </c>
      <c r="CM37" s="33" t="s">
        <v>2123</v>
      </c>
      <c r="CN37" s="34">
        <v>0.5</v>
      </c>
      <c r="CO37" s="34">
        <v>5</v>
      </c>
      <c r="CP37" s="35" t="s">
        <v>2124</v>
      </c>
      <c r="CQ37" s="35" t="s">
        <v>365</v>
      </c>
      <c r="CR37" s="36">
        <v>0</v>
      </c>
      <c r="CS37" s="36">
        <v>0</v>
      </c>
      <c r="CT37" s="36">
        <v>5</v>
      </c>
      <c r="CU37" s="36">
        <v>4</v>
      </c>
      <c r="CV37" s="36">
        <v>6</v>
      </c>
      <c r="CW37" s="36">
        <v>10</v>
      </c>
      <c r="CX37" s="36">
        <v>5</v>
      </c>
      <c r="CY37" s="36">
        <v>5</v>
      </c>
      <c r="CZ37" s="36">
        <v>5</v>
      </c>
      <c r="DA37" s="37">
        <v>0</v>
      </c>
      <c r="DB37" s="37">
        <v>0</v>
      </c>
      <c r="DC37" s="37">
        <v>40</v>
      </c>
      <c r="DD37" s="37">
        <v>25</v>
      </c>
      <c r="DE37" s="37">
        <v>40</v>
      </c>
      <c r="DF37" s="37">
        <v>80</v>
      </c>
      <c r="DG37" s="37">
        <v>35</v>
      </c>
      <c r="DH37" s="37">
        <v>200</v>
      </c>
      <c r="DI37" s="37">
        <v>80</v>
      </c>
      <c r="DJ37" s="38" t="s">
        <v>2125</v>
      </c>
      <c r="DK37" s="39" t="s">
        <v>1979</v>
      </c>
      <c r="DL37" s="40">
        <v>30</v>
      </c>
      <c r="DM37" s="39" t="s">
        <v>2126</v>
      </c>
      <c r="DN37" s="41"/>
      <c r="DO37" s="24" t="s">
        <v>182</v>
      </c>
      <c r="DP37" s="25" t="s">
        <v>183</v>
      </c>
      <c r="DQ37" s="25" t="s">
        <v>183</v>
      </c>
      <c r="DR37" s="24" t="s">
        <v>182</v>
      </c>
      <c r="DS37" s="41"/>
      <c r="DT37" s="41"/>
      <c r="DU37" s="41"/>
      <c r="DV37" s="41"/>
      <c r="DW37" s="41"/>
      <c r="DX37" s="41"/>
      <c r="DY37" s="41"/>
      <c r="DZ37" s="42" t="s">
        <v>2127</v>
      </c>
      <c r="EA37" s="42" t="s">
        <v>2128</v>
      </c>
      <c r="EB37" s="48" t="s">
        <v>239</v>
      </c>
      <c r="EC37" s="44" t="s">
        <v>2057</v>
      </c>
      <c r="ED37" s="45" t="s">
        <v>2129</v>
      </c>
      <c r="EE37" s="46">
        <v>4</v>
      </c>
      <c r="EF37" s="50" t="s">
        <v>2058</v>
      </c>
    </row>
    <row r="38" spans="1:136" ht="15" customHeight="1" x14ac:dyDescent="0.25">
      <c r="A38" s="16" t="s">
        <v>2076</v>
      </c>
      <c r="B38" s="29" t="s">
        <v>1969</v>
      </c>
      <c r="C38" s="29" t="s">
        <v>2077</v>
      </c>
      <c r="D38" s="30">
        <v>710.6</v>
      </c>
      <c r="E38" s="30">
        <v>9.8000000000000007</v>
      </c>
      <c r="F38" s="30">
        <v>71.900000000000006</v>
      </c>
      <c r="G38" s="30">
        <v>4.9000000000000004</v>
      </c>
      <c r="H38" s="30">
        <v>8.4</v>
      </c>
      <c r="I38" s="30">
        <v>51</v>
      </c>
      <c r="J38" s="30">
        <v>2.4</v>
      </c>
      <c r="K38" s="30">
        <v>110</v>
      </c>
      <c r="L38" s="30">
        <v>290</v>
      </c>
      <c r="M38" s="30">
        <v>500</v>
      </c>
      <c r="N38" s="30">
        <v>3</v>
      </c>
      <c r="O38" s="30">
        <v>3.9</v>
      </c>
      <c r="P38" s="30">
        <v>0.41</v>
      </c>
      <c r="Q38" s="30">
        <v>5.0999999999999996</v>
      </c>
      <c r="R38" s="30">
        <v>2</v>
      </c>
      <c r="S38" s="30">
        <v>4</v>
      </c>
      <c r="T38" s="30">
        <v>5.6</v>
      </c>
      <c r="U38" s="30">
        <v>1</v>
      </c>
      <c r="V38" s="30">
        <v>0.42</v>
      </c>
      <c r="W38" s="30">
        <v>0.18</v>
      </c>
      <c r="X38" s="30">
        <v>1.3</v>
      </c>
      <c r="Y38" s="30">
        <v>0.26</v>
      </c>
      <c r="Z38" s="30">
        <v>0</v>
      </c>
      <c r="AA38" s="30">
        <v>22</v>
      </c>
      <c r="AB38" s="31">
        <v>2231</v>
      </c>
      <c r="AC38" s="31" t="s">
        <v>2078</v>
      </c>
      <c r="AD38" s="31" t="s">
        <v>2079</v>
      </c>
      <c r="AE38" s="31" t="s">
        <v>2080</v>
      </c>
      <c r="AF38" s="31" t="s">
        <v>2081</v>
      </c>
      <c r="AG38" s="31" t="s">
        <v>2076</v>
      </c>
      <c r="AH38" s="31" t="s">
        <v>2076</v>
      </c>
      <c r="AI38" s="31" t="s">
        <v>155</v>
      </c>
      <c r="AJ38" s="31" t="s">
        <v>337</v>
      </c>
      <c r="AK38" s="31" t="s">
        <v>157</v>
      </c>
      <c r="AL38" s="31" t="s">
        <v>314</v>
      </c>
      <c r="AM38" s="31"/>
      <c r="AN38" s="31" t="s">
        <v>417</v>
      </c>
      <c r="AO38" s="31" t="s">
        <v>451</v>
      </c>
      <c r="AP38" s="31" t="s">
        <v>340</v>
      </c>
      <c r="AQ38" s="31" t="s">
        <v>362</v>
      </c>
      <c r="AR38" s="31">
        <v>15</v>
      </c>
      <c r="AS38" s="31">
        <v>35</v>
      </c>
      <c r="AT38" s="31">
        <v>5</v>
      </c>
      <c r="AU38" s="31">
        <v>40</v>
      </c>
      <c r="AV38" s="31">
        <v>600</v>
      </c>
      <c r="AW38" s="31">
        <v>1200</v>
      </c>
      <c r="AX38" s="31">
        <v>400</v>
      </c>
      <c r="AY38" s="31">
        <v>1800</v>
      </c>
      <c r="AZ38" s="31">
        <v>5.5</v>
      </c>
      <c r="BA38" s="31">
        <v>7</v>
      </c>
      <c r="BB38" s="31">
        <v>5</v>
      </c>
      <c r="BC38" s="31">
        <v>7.5</v>
      </c>
      <c r="BD38" s="31">
        <v>25</v>
      </c>
      <c r="BE38" s="31">
        <v>20</v>
      </c>
      <c r="BF38" s="31">
        <v>40</v>
      </c>
      <c r="BG38" s="31">
        <v>40</v>
      </c>
      <c r="BH38" s="31">
        <v>800</v>
      </c>
      <c r="BI38" s="31" t="s">
        <v>163</v>
      </c>
      <c r="BJ38" s="31" t="s">
        <v>163</v>
      </c>
      <c r="BK38" s="31" t="s">
        <v>163</v>
      </c>
      <c r="BL38" s="31" t="s">
        <v>164</v>
      </c>
      <c r="BM38" s="31" t="s">
        <v>288</v>
      </c>
      <c r="BN38" s="31" t="s">
        <v>288</v>
      </c>
      <c r="BO38" s="31" t="s">
        <v>250</v>
      </c>
      <c r="BP38" s="31" t="s">
        <v>567</v>
      </c>
      <c r="BQ38" s="31" t="s">
        <v>169</v>
      </c>
      <c r="BR38" s="31" t="s">
        <v>170</v>
      </c>
      <c r="BS38" s="31"/>
      <c r="BT38" s="31"/>
      <c r="BU38" s="31" t="s">
        <v>171</v>
      </c>
      <c r="BV38" s="31" t="s">
        <v>171</v>
      </c>
      <c r="BW38" s="31" t="s">
        <v>172</v>
      </c>
      <c r="BX38" s="31" t="s">
        <v>172</v>
      </c>
      <c r="BY38" s="31">
        <v>-20</v>
      </c>
      <c r="BZ38" s="31">
        <v>-1</v>
      </c>
      <c r="CA38" s="31" t="s">
        <v>173</v>
      </c>
      <c r="CB38" s="31" t="s">
        <v>2082</v>
      </c>
      <c r="CC38" s="31"/>
      <c r="CD38" s="31"/>
      <c r="CE38" s="31"/>
      <c r="CF38" s="31" t="s">
        <v>175</v>
      </c>
      <c r="CG38" s="31">
        <v>140</v>
      </c>
      <c r="CH38" s="31">
        <v>210</v>
      </c>
      <c r="CI38" s="19">
        <v>20</v>
      </c>
      <c r="CJ38" s="19">
        <v>45</v>
      </c>
      <c r="CK38" s="19">
        <v>12</v>
      </c>
      <c r="CL38" s="19">
        <v>25</v>
      </c>
      <c r="CM38" s="17" t="s">
        <v>2023</v>
      </c>
      <c r="CN38" s="20">
        <v>0.5</v>
      </c>
      <c r="CO38" s="20">
        <v>3.5</v>
      </c>
      <c r="CP38" s="17" t="s">
        <v>2083</v>
      </c>
      <c r="CQ38" s="17" t="s">
        <v>553</v>
      </c>
      <c r="CR38" s="21">
        <v>0</v>
      </c>
      <c r="CS38" s="21">
        <v>0</v>
      </c>
      <c r="CT38" s="21">
        <v>5</v>
      </c>
      <c r="CU38" s="21">
        <v>4</v>
      </c>
      <c r="CV38" s="21">
        <v>8</v>
      </c>
      <c r="CW38" s="21">
        <v>8</v>
      </c>
      <c r="CX38" s="21">
        <v>5</v>
      </c>
      <c r="CY38" s="21">
        <v>5</v>
      </c>
      <c r="CZ38" s="21">
        <v>3</v>
      </c>
      <c r="DA38" s="21">
        <v>0</v>
      </c>
      <c r="DB38" s="21">
        <v>0</v>
      </c>
      <c r="DC38" s="21">
        <v>40</v>
      </c>
      <c r="DD38" s="21">
        <v>25</v>
      </c>
      <c r="DE38" s="21">
        <v>50</v>
      </c>
      <c r="DF38" s="21">
        <v>60</v>
      </c>
      <c r="DG38" s="21">
        <v>35</v>
      </c>
      <c r="DH38" s="21">
        <v>200</v>
      </c>
      <c r="DI38" s="21">
        <v>60</v>
      </c>
      <c r="DJ38" s="17" t="s">
        <v>2084</v>
      </c>
      <c r="DK38" s="17" t="s">
        <v>1979</v>
      </c>
      <c r="DL38" s="22">
        <v>30</v>
      </c>
      <c r="DM38" s="17" t="s">
        <v>2085</v>
      </c>
      <c r="DN38" s="23"/>
      <c r="DO38" s="24" t="s">
        <v>182</v>
      </c>
      <c r="DP38" s="25" t="s">
        <v>183</v>
      </c>
      <c r="DQ38" s="25" t="s">
        <v>183</v>
      </c>
      <c r="DR38" s="24" t="s">
        <v>182</v>
      </c>
      <c r="DS38" s="23"/>
      <c r="DT38" s="23"/>
      <c r="DU38" s="23"/>
      <c r="DV38" s="23"/>
      <c r="DW38" s="23"/>
      <c r="DX38" s="23"/>
      <c r="DY38" s="23"/>
      <c r="DZ38" s="17" t="s">
        <v>2086</v>
      </c>
      <c r="EA38" s="17" t="s">
        <v>2087</v>
      </c>
      <c r="EB38" s="48" t="s">
        <v>239</v>
      </c>
      <c r="EC38" s="17" t="s">
        <v>2088</v>
      </c>
      <c r="ED38" s="27" t="s">
        <v>756</v>
      </c>
      <c r="EE38" s="22">
        <v>4</v>
      </c>
      <c r="EF38" s="49" t="s">
        <v>2058</v>
      </c>
    </row>
    <row r="39" spans="1:136" ht="15" customHeight="1" x14ac:dyDescent="0.25">
      <c r="A39" s="16" t="s">
        <v>372</v>
      </c>
      <c r="B39" s="29" t="s">
        <v>355</v>
      </c>
      <c r="C39" s="29" t="s">
        <v>373</v>
      </c>
      <c r="D39" s="30">
        <v>29.2</v>
      </c>
      <c r="E39" s="30">
        <v>3.2</v>
      </c>
      <c r="F39" s="30">
        <v>0.4</v>
      </c>
      <c r="G39" s="30">
        <v>2</v>
      </c>
      <c r="H39" s="30">
        <v>2.5</v>
      </c>
      <c r="I39" s="30">
        <v>39</v>
      </c>
      <c r="J39" s="30">
        <v>0.78</v>
      </c>
      <c r="K39" s="30">
        <v>21</v>
      </c>
      <c r="L39" s="30">
        <v>61</v>
      </c>
      <c r="M39" s="30">
        <v>250</v>
      </c>
      <c r="N39" s="30">
        <v>16</v>
      </c>
      <c r="O39" s="30">
        <v>0.45</v>
      </c>
      <c r="P39" s="30">
        <v>7.3999999999999996E-2</v>
      </c>
      <c r="Q39" s="30">
        <v>0.21</v>
      </c>
      <c r="R39" s="30">
        <v>1.7</v>
      </c>
      <c r="S39" s="30">
        <v>50</v>
      </c>
      <c r="T39" s="30">
        <v>0.22</v>
      </c>
      <c r="U39" s="30">
        <v>12</v>
      </c>
      <c r="V39" s="30">
        <v>7.0000000000000007E-2</v>
      </c>
      <c r="W39" s="30">
        <v>0.08</v>
      </c>
      <c r="X39" s="30">
        <v>0</v>
      </c>
      <c r="Y39" s="30">
        <v>0.06</v>
      </c>
      <c r="Z39" s="30">
        <v>0</v>
      </c>
      <c r="AA39" s="30">
        <v>123</v>
      </c>
      <c r="AB39" s="31">
        <v>556</v>
      </c>
      <c r="AC39" s="31" t="s">
        <v>357</v>
      </c>
      <c r="AD39" s="31" t="s">
        <v>358</v>
      </c>
      <c r="AE39" s="31" t="s">
        <v>152</v>
      </c>
      <c r="AF39" s="31" t="s">
        <v>359</v>
      </c>
      <c r="AG39" s="31" t="s">
        <v>360</v>
      </c>
      <c r="AH39" s="31" t="s">
        <v>361</v>
      </c>
      <c r="AI39" s="31" t="s">
        <v>155</v>
      </c>
      <c r="AJ39" s="31" t="s">
        <v>156</v>
      </c>
      <c r="AK39" s="31" t="s">
        <v>157</v>
      </c>
      <c r="AL39" s="31" t="s">
        <v>227</v>
      </c>
      <c r="AM39" s="31"/>
      <c r="AN39" s="31" t="s">
        <v>160</v>
      </c>
      <c r="AO39" s="31" t="s">
        <v>161</v>
      </c>
      <c r="AP39" s="31" t="s">
        <v>161</v>
      </c>
      <c r="AQ39" s="31" t="s">
        <v>362</v>
      </c>
      <c r="AR39" s="31">
        <v>15</v>
      </c>
      <c r="AS39" s="31">
        <v>24</v>
      </c>
      <c r="AT39" s="31">
        <v>3</v>
      </c>
      <c r="AU39" s="31">
        <v>35</v>
      </c>
      <c r="AV39" s="31">
        <v>900</v>
      </c>
      <c r="AW39" s="31">
        <v>1500</v>
      </c>
      <c r="AX39" s="31">
        <v>350</v>
      </c>
      <c r="AY39" s="31">
        <v>2000</v>
      </c>
      <c r="AZ39" s="31">
        <v>6</v>
      </c>
      <c r="BA39" s="31">
        <v>6.8</v>
      </c>
      <c r="BB39" s="31">
        <v>5.5</v>
      </c>
      <c r="BC39" s="31">
        <v>8.5</v>
      </c>
      <c r="BD39" s="31">
        <v>35</v>
      </c>
      <c r="BE39" s="31"/>
      <c r="BF39" s="31">
        <v>55</v>
      </c>
      <c r="BG39" s="31">
        <v>60</v>
      </c>
      <c r="BH39" s="31">
        <v>2000</v>
      </c>
      <c r="BI39" s="31" t="s">
        <v>165</v>
      </c>
      <c r="BJ39" s="31" t="s">
        <v>165</v>
      </c>
      <c r="BK39" s="31" t="s">
        <v>164</v>
      </c>
      <c r="BL39" s="31" t="s">
        <v>317</v>
      </c>
      <c r="BM39" s="31" t="s">
        <v>166</v>
      </c>
      <c r="BN39" s="31" t="s">
        <v>166</v>
      </c>
      <c r="BO39" s="31" t="s">
        <v>167</v>
      </c>
      <c r="BP39" s="31" t="s">
        <v>203</v>
      </c>
      <c r="BQ39" s="31" t="s">
        <v>169</v>
      </c>
      <c r="BR39" s="31" t="s">
        <v>170</v>
      </c>
      <c r="BS39" s="31"/>
      <c r="BT39" s="31"/>
      <c r="BU39" s="31" t="s">
        <v>171</v>
      </c>
      <c r="BV39" s="31" t="s">
        <v>171</v>
      </c>
      <c r="BW39" s="31" t="s">
        <v>172</v>
      </c>
      <c r="BX39" s="31" t="s">
        <v>172</v>
      </c>
      <c r="BY39" s="31">
        <v>-5</v>
      </c>
      <c r="BZ39" s="31">
        <v>-1</v>
      </c>
      <c r="CA39" s="31" t="s">
        <v>173</v>
      </c>
      <c r="CB39" s="31" t="s">
        <v>232</v>
      </c>
      <c r="CC39" s="31"/>
      <c r="CD39" s="31"/>
      <c r="CE39" s="31"/>
      <c r="CF39" s="31"/>
      <c r="CG39" s="31">
        <v>80</v>
      </c>
      <c r="CH39" s="31">
        <v>120</v>
      </c>
      <c r="CI39" s="32">
        <v>0.4</v>
      </c>
      <c r="CJ39" s="32">
        <v>0.8</v>
      </c>
      <c r="CK39" s="32">
        <v>0.3</v>
      </c>
      <c r="CL39" s="32">
        <v>0.5</v>
      </c>
      <c r="CM39" s="33" t="s">
        <v>363</v>
      </c>
      <c r="CN39" s="34">
        <v>4</v>
      </c>
      <c r="CO39" s="34">
        <v>15</v>
      </c>
      <c r="CP39" s="35" t="s">
        <v>374</v>
      </c>
      <c r="CQ39" s="35" t="s">
        <v>375</v>
      </c>
      <c r="CR39" s="36">
        <v>5</v>
      </c>
      <c r="CS39" s="36">
        <v>5</v>
      </c>
      <c r="CT39" s="36">
        <v>6</v>
      </c>
      <c r="CU39" s="36">
        <v>3</v>
      </c>
      <c r="CV39" s="36">
        <v>5</v>
      </c>
      <c r="CW39" s="36">
        <v>0</v>
      </c>
      <c r="CX39" s="36">
        <v>4</v>
      </c>
      <c r="CY39" s="36">
        <v>12</v>
      </c>
      <c r="CZ39" s="36">
        <v>8</v>
      </c>
      <c r="DA39" s="37">
        <v>140</v>
      </c>
      <c r="DB39" s="37">
        <v>130</v>
      </c>
      <c r="DC39" s="37">
        <v>200</v>
      </c>
      <c r="DD39" s="37">
        <v>25</v>
      </c>
      <c r="DE39" s="37">
        <v>40</v>
      </c>
      <c r="DF39" s="37">
        <v>0</v>
      </c>
      <c r="DG39" s="37">
        <v>40</v>
      </c>
      <c r="DH39" s="37">
        <v>350</v>
      </c>
      <c r="DI39" s="37">
        <v>120</v>
      </c>
      <c r="DJ39" s="38" t="s">
        <v>376</v>
      </c>
      <c r="DK39" s="39" t="s">
        <v>180</v>
      </c>
      <c r="DL39" s="40">
        <v>75</v>
      </c>
      <c r="DM39" s="39" t="s">
        <v>377</v>
      </c>
      <c r="DN39" s="41"/>
      <c r="DO39" s="41"/>
      <c r="DP39" s="41"/>
      <c r="DQ39" s="24" t="s">
        <v>182</v>
      </c>
      <c r="DR39" s="25" t="s">
        <v>183</v>
      </c>
      <c r="DS39" s="25" t="s">
        <v>183</v>
      </c>
      <c r="DT39" s="25" t="s">
        <v>183</v>
      </c>
      <c r="DU39" s="25" t="s">
        <v>183</v>
      </c>
      <c r="DV39" s="25" t="s">
        <v>183</v>
      </c>
      <c r="DW39" s="24" t="s">
        <v>182</v>
      </c>
      <c r="DX39" s="41"/>
      <c r="DY39" s="41"/>
      <c r="DZ39" s="42" t="s">
        <v>378</v>
      </c>
      <c r="EA39" s="42" t="s">
        <v>379</v>
      </c>
      <c r="EB39" s="43" t="s">
        <v>214</v>
      </c>
      <c r="EC39" s="44" t="s">
        <v>370</v>
      </c>
      <c r="ED39" s="45" t="s">
        <v>371</v>
      </c>
      <c r="EE39" s="46">
        <v>2</v>
      </c>
      <c r="EF39" s="47" t="s">
        <v>304</v>
      </c>
    </row>
    <row r="40" spans="1:136" ht="15" customHeight="1" x14ac:dyDescent="0.25">
      <c r="A40" s="16" t="s">
        <v>2487</v>
      </c>
      <c r="B40" s="17" t="s">
        <v>2325</v>
      </c>
      <c r="C40" s="17" t="s">
        <v>2488</v>
      </c>
      <c r="D40" s="18">
        <v>49</v>
      </c>
      <c r="E40" s="18">
        <v>6.95</v>
      </c>
      <c r="F40" s="18">
        <v>4.3099999999999996</v>
      </c>
      <c r="G40" s="18">
        <v>0</v>
      </c>
      <c r="H40" s="18">
        <v>0.87</v>
      </c>
      <c r="I40" s="18">
        <v>84</v>
      </c>
      <c r="J40" s="18">
        <v>1.5</v>
      </c>
      <c r="K40" s="18">
        <v>34</v>
      </c>
      <c r="L40" s="18">
        <v>37</v>
      </c>
      <c r="M40" s="18">
        <v>223</v>
      </c>
      <c r="N40" s="18">
        <v>4</v>
      </c>
      <c r="O40" s="18">
        <v>0.39</v>
      </c>
      <c r="P40" s="18">
        <v>5.0999999999999997E-2</v>
      </c>
      <c r="Q40" s="18">
        <v>0.218</v>
      </c>
      <c r="R40" s="18">
        <v>1.5</v>
      </c>
      <c r="S40" s="18">
        <v>128</v>
      </c>
      <c r="T40" s="18">
        <v>0</v>
      </c>
      <c r="U40" s="18">
        <v>18.3</v>
      </c>
      <c r="V40" s="18">
        <v>0.14000000000000001</v>
      </c>
      <c r="W40" s="18">
        <v>0.1</v>
      </c>
      <c r="X40" s="18">
        <v>0.9</v>
      </c>
      <c r="Y40" s="18">
        <v>0.113</v>
      </c>
      <c r="Z40" s="18">
        <v>0</v>
      </c>
      <c r="AA40" s="18">
        <v>66</v>
      </c>
      <c r="AB40" s="18">
        <v>1807</v>
      </c>
      <c r="AC40" s="18" t="s">
        <v>2489</v>
      </c>
      <c r="AD40" s="18" t="s">
        <v>2490</v>
      </c>
      <c r="AE40" s="18" t="s">
        <v>2062</v>
      </c>
      <c r="AF40" s="18" t="s">
        <v>2491</v>
      </c>
      <c r="AG40" s="18" t="s">
        <v>2492</v>
      </c>
      <c r="AH40" s="18" t="s">
        <v>2493</v>
      </c>
      <c r="AI40" s="18" t="s">
        <v>155</v>
      </c>
      <c r="AJ40" s="18" t="s">
        <v>504</v>
      </c>
      <c r="AK40" s="18" t="s">
        <v>505</v>
      </c>
      <c r="AL40" s="18" t="s">
        <v>314</v>
      </c>
      <c r="AM40" s="18">
        <v>0</v>
      </c>
      <c r="AN40" s="18" t="s">
        <v>1584</v>
      </c>
      <c r="AO40" s="18" t="s">
        <v>2494</v>
      </c>
      <c r="AP40" s="18" t="s">
        <v>2066</v>
      </c>
      <c r="AQ40" s="18" t="s">
        <v>362</v>
      </c>
      <c r="AR40" s="18">
        <v>18</v>
      </c>
      <c r="AS40" s="18">
        <v>30</v>
      </c>
      <c r="AT40" s="18">
        <v>14</v>
      </c>
      <c r="AU40" s="18">
        <v>40</v>
      </c>
      <c r="AV40" s="18">
        <v>1000</v>
      </c>
      <c r="AW40" s="18">
        <v>2500</v>
      </c>
      <c r="AX40" s="18">
        <v>500</v>
      </c>
      <c r="AY40" s="18">
        <v>4100</v>
      </c>
      <c r="AZ40" s="18">
        <v>5.5</v>
      </c>
      <c r="BA40" s="18">
        <v>7</v>
      </c>
      <c r="BB40" s="18">
        <v>4.3</v>
      </c>
      <c r="BC40" s="18">
        <v>8.5</v>
      </c>
      <c r="BD40" s="18">
        <v>0</v>
      </c>
      <c r="BE40" s="18">
        <v>0</v>
      </c>
      <c r="BF40" s="18">
        <v>29</v>
      </c>
      <c r="BG40" s="18">
        <v>32</v>
      </c>
      <c r="BH40" s="18">
        <v>2000</v>
      </c>
      <c r="BI40" s="18" t="s">
        <v>163</v>
      </c>
      <c r="BJ40" s="18" t="s">
        <v>164</v>
      </c>
      <c r="BK40" s="18" t="s">
        <v>163</v>
      </c>
      <c r="BL40" s="18" t="s">
        <v>165</v>
      </c>
      <c r="BM40" s="18" t="s">
        <v>288</v>
      </c>
      <c r="BN40" s="18" t="s">
        <v>201</v>
      </c>
      <c r="BO40" s="51" t="s">
        <v>167</v>
      </c>
      <c r="BP40" s="51" t="s">
        <v>203</v>
      </c>
      <c r="BQ40" s="51" t="s">
        <v>170</v>
      </c>
      <c r="BR40" s="51" t="s">
        <v>230</v>
      </c>
      <c r="BS40" s="51">
        <v>0</v>
      </c>
      <c r="BT40" s="51">
        <v>0</v>
      </c>
      <c r="BU40" s="51" t="s">
        <v>171</v>
      </c>
      <c r="BV40" s="51" t="s">
        <v>171</v>
      </c>
      <c r="BW40" s="51" t="s">
        <v>172</v>
      </c>
      <c r="BX40" s="51" t="s">
        <v>172</v>
      </c>
      <c r="BY40" s="51">
        <v>3</v>
      </c>
      <c r="BZ40" s="51">
        <v>0</v>
      </c>
      <c r="CA40" s="51" t="s">
        <v>508</v>
      </c>
      <c r="CB40" s="51" t="s">
        <v>583</v>
      </c>
      <c r="CC40" s="51">
        <v>0</v>
      </c>
      <c r="CD40" s="51">
        <v>0</v>
      </c>
      <c r="CE40" s="51">
        <v>0</v>
      </c>
      <c r="CF40" s="51" t="s">
        <v>175</v>
      </c>
      <c r="CG40" s="51">
        <v>50</v>
      </c>
      <c r="CH40" s="51">
        <v>270</v>
      </c>
      <c r="CI40" s="19">
        <v>2</v>
      </c>
      <c r="CJ40" s="19">
        <v>4</v>
      </c>
      <c r="CK40" s="19">
        <v>1</v>
      </c>
      <c r="CL40" s="19">
        <v>2</v>
      </c>
      <c r="CM40" s="17" t="s">
        <v>2495</v>
      </c>
      <c r="CN40" s="20">
        <v>0.5</v>
      </c>
      <c r="CO40" s="20">
        <v>3</v>
      </c>
      <c r="CP40" s="17" t="s">
        <v>2496</v>
      </c>
      <c r="CQ40" s="17" t="s">
        <v>296</v>
      </c>
      <c r="CR40" s="21">
        <v>4</v>
      </c>
      <c r="CS40" s="21">
        <v>3</v>
      </c>
      <c r="CT40" s="21">
        <v>6</v>
      </c>
      <c r="CU40" s="21">
        <v>2</v>
      </c>
      <c r="CV40" s="21">
        <v>3</v>
      </c>
      <c r="CW40" s="21">
        <v>5</v>
      </c>
      <c r="CX40" s="21">
        <v>3</v>
      </c>
      <c r="CY40" s="21">
        <v>20</v>
      </c>
      <c r="CZ40" s="21">
        <v>5</v>
      </c>
      <c r="DA40" s="21">
        <v>130</v>
      </c>
      <c r="DB40" s="21">
        <v>70</v>
      </c>
      <c r="DC40" s="21">
        <v>200</v>
      </c>
      <c r="DD40" s="21">
        <v>20</v>
      </c>
      <c r="DE40" s="21">
        <v>25</v>
      </c>
      <c r="DF40" s="21">
        <v>60</v>
      </c>
      <c r="DG40" s="21">
        <v>30</v>
      </c>
      <c r="DH40" s="21">
        <v>400</v>
      </c>
      <c r="DI40" s="21">
        <v>80</v>
      </c>
      <c r="DJ40" s="17" t="s">
        <v>2497</v>
      </c>
      <c r="DK40" s="17" t="s">
        <v>1979</v>
      </c>
      <c r="DL40" s="22">
        <v>150</v>
      </c>
      <c r="DM40" s="17" t="s">
        <v>2498</v>
      </c>
      <c r="DN40" s="23"/>
      <c r="DO40" s="24" t="s">
        <v>182</v>
      </c>
      <c r="DP40" s="25" t="s">
        <v>183</v>
      </c>
      <c r="DQ40" s="25" t="s">
        <v>183</v>
      </c>
      <c r="DR40" s="25" t="s">
        <v>183</v>
      </c>
      <c r="DS40" s="24" t="s">
        <v>182</v>
      </c>
      <c r="DT40" s="23"/>
      <c r="DU40" s="23"/>
      <c r="DV40" s="23"/>
      <c r="DW40" s="23"/>
      <c r="DX40" s="23"/>
      <c r="DY40" s="23"/>
      <c r="DZ40" s="17" t="s">
        <v>2499</v>
      </c>
      <c r="EA40" s="17" t="s">
        <v>2500</v>
      </c>
      <c r="EB40" s="48" t="s">
        <v>239</v>
      </c>
      <c r="EC40" s="17" t="s">
        <v>2202</v>
      </c>
      <c r="ED40" s="27" t="s">
        <v>1500</v>
      </c>
      <c r="EE40" s="22">
        <v>2</v>
      </c>
      <c r="EF40" s="9" t="s">
        <v>1501</v>
      </c>
    </row>
    <row r="41" spans="1:136" ht="15" customHeight="1" x14ac:dyDescent="0.25">
      <c r="A41" s="16" t="s">
        <v>1968</v>
      </c>
      <c r="B41" s="17" t="s">
        <v>1969</v>
      </c>
      <c r="C41" s="17" t="s">
        <v>1970</v>
      </c>
      <c r="D41" s="18">
        <v>570.29999999999995</v>
      </c>
      <c r="E41" s="18">
        <v>19.7</v>
      </c>
      <c r="F41" s="18">
        <v>50.5</v>
      </c>
      <c r="G41" s="18">
        <v>5.4</v>
      </c>
      <c r="H41" s="18">
        <v>11</v>
      </c>
      <c r="I41" s="18">
        <v>267</v>
      </c>
      <c r="J41" s="18">
        <v>3.77</v>
      </c>
      <c r="K41" s="18">
        <v>268</v>
      </c>
      <c r="L41" s="18">
        <v>520</v>
      </c>
      <c r="M41" s="18">
        <v>789</v>
      </c>
      <c r="N41" s="18">
        <v>0</v>
      </c>
      <c r="O41" s="18">
        <v>3.55</v>
      </c>
      <c r="P41" s="18">
        <v>0.85199999999999998</v>
      </c>
      <c r="Q41" s="18">
        <v>2.956</v>
      </c>
      <c r="R41" s="18">
        <v>1.5</v>
      </c>
      <c r="S41" s="18">
        <v>0</v>
      </c>
      <c r="T41" s="18">
        <v>27.75</v>
      </c>
      <c r="U41" s="18">
        <v>0</v>
      </c>
      <c r="V41" s="18">
        <v>0.19</v>
      </c>
      <c r="W41" s="18">
        <v>7.0000000000000007E-2</v>
      </c>
      <c r="X41" s="18">
        <v>4.5</v>
      </c>
      <c r="Y41" s="18">
        <v>0.09</v>
      </c>
      <c r="Z41" s="18">
        <v>0</v>
      </c>
      <c r="AA41" s="18">
        <v>37</v>
      </c>
      <c r="AB41" s="18">
        <v>2397</v>
      </c>
      <c r="AC41" s="18" t="s">
        <v>1971</v>
      </c>
      <c r="AD41" s="18" t="s">
        <v>1972</v>
      </c>
      <c r="AE41" s="18" t="s">
        <v>413</v>
      </c>
      <c r="AF41" s="18" t="s">
        <v>1973</v>
      </c>
      <c r="AG41" s="18" t="s">
        <v>1974</v>
      </c>
      <c r="AH41" s="18" t="s">
        <v>1975</v>
      </c>
      <c r="AI41" s="18" t="s">
        <v>226</v>
      </c>
      <c r="AJ41" s="18" t="s">
        <v>337</v>
      </c>
      <c r="AK41" s="18" t="s">
        <v>157</v>
      </c>
      <c r="AL41" s="18" t="s">
        <v>314</v>
      </c>
      <c r="AM41" s="18"/>
      <c r="AN41" s="18" t="s">
        <v>417</v>
      </c>
      <c r="AO41" s="18" t="s">
        <v>484</v>
      </c>
      <c r="AP41" s="18" t="s">
        <v>340</v>
      </c>
      <c r="AQ41" s="18" t="s">
        <v>162</v>
      </c>
      <c r="AR41" s="18">
        <v>12</v>
      </c>
      <c r="AS41" s="18">
        <v>35</v>
      </c>
      <c r="AT41" s="18">
        <v>10</v>
      </c>
      <c r="AU41" s="18">
        <v>40</v>
      </c>
      <c r="AV41" s="18">
        <v>600</v>
      </c>
      <c r="AW41" s="18">
        <v>900</v>
      </c>
      <c r="AX41" s="18">
        <v>250</v>
      </c>
      <c r="AY41" s="18">
        <v>1500</v>
      </c>
      <c r="AZ41" s="18">
        <v>6.5</v>
      </c>
      <c r="BA41" s="18">
        <v>7</v>
      </c>
      <c r="BB41" s="18">
        <v>5.5</v>
      </c>
      <c r="BC41" s="18">
        <v>8</v>
      </c>
      <c r="BD41" s="18"/>
      <c r="BE41" s="18"/>
      <c r="BF41" s="18"/>
      <c r="BG41" s="18"/>
      <c r="BH41" s="18"/>
      <c r="BI41" s="18" t="s">
        <v>163</v>
      </c>
      <c r="BJ41" s="18" t="s">
        <v>163</v>
      </c>
      <c r="BK41" s="18" t="s">
        <v>163</v>
      </c>
      <c r="BL41" s="18" t="s">
        <v>163</v>
      </c>
      <c r="BM41" s="18" t="s">
        <v>166</v>
      </c>
      <c r="BN41" s="18" t="s">
        <v>201</v>
      </c>
      <c r="BO41" s="18" t="s">
        <v>202</v>
      </c>
      <c r="BP41" s="18" t="s">
        <v>250</v>
      </c>
      <c r="BQ41" s="18" t="s">
        <v>170</v>
      </c>
      <c r="BR41" s="18" t="s">
        <v>170</v>
      </c>
      <c r="BS41" s="18"/>
      <c r="BT41" s="18"/>
      <c r="BU41" s="18" t="s">
        <v>171</v>
      </c>
      <c r="BV41" s="18" t="s">
        <v>171</v>
      </c>
      <c r="BW41" s="18" t="s">
        <v>172</v>
      </c>
      <c r="BX41" s="18" t="s">
        <v>290</v>
      </c>
      <c r="BY41" s="18">
        <v>-5</v>
      </c>
      <c r="BZ41" s="18">
        <v>-1</v>
      </c>
      <c r="CA41" s="18" t="s">
        <v>173</v>
      </c>
      <c r="CB41" s="18" t="s">
        <v>1976</v>
      </c>
      <c r="CC41" s="18"/>
      <c r="CD41" s="18"/>
      <c r="CE41" s="18"/>
      <c r="CF41" s="18" t="s">
        <v>206</v>
      </c>
      <c r="CG41" s="18">
        <v>150</v>
      </c>
      <c r="CH41" s="18">
        <v>240</v>
      </c>
      <c r="CI41" s="32">
        <v>4</v>
      </c>
      <c r="CJ41" s="32">
        <v>10</v>
      </c>
      <c r="CK41" s="32">
        <v>4</v>
      </c>
      <c r="CL41" s="32">
        <v>8</v>
      </c>
      <c r="CM41" s="33" t="s">
        <v>868</v>
      </c>
      <c r="CN41" s="34">
        <v>0.5</v>
      </c>
      <c r="CO41" s="34">
        <v>5</v>
      </c>
      <c r="CP41" s="35" t="s">
        <v>1977</v>
      </c>
      <c r="CQ41" s="35" t="s">
        <v>365</v>
      </c>
      <c r="CR41" s="36">
        <v>0</v>
      </c>
      <c r="CS41" s="36">
        <v>0</v>
      </c>
      <c r="CT41" s="36">
        <v>5</v>
      </c>
      <c r="CU41" s="36">
        <v>4</v>
      </c>
      <c r="CV41" s="36">
        <v>8</v>
      </c>
      <c r="CW41" s="36">
        <v>10</v>
      </c>
      <c r="CX41" s="36">
        <v>6</v>
      </c>
      <c r="CY41" s="36">
        <v>5</v>
      </c>
      <c r="CZ41" s="36">
        <v>3</v>
      </c>
      <c r="DA41" s="37">
        <v>0</v>
      </c>
      <c r="DB41" s="37">
        <v>0</v>
      </c>
      <c r="DC41" s="37">
        <v>40</v>
      </c>
      <c r="DD41" s="37">
        <v>25</v>
      </c>
      <c r="DE41" s="37">
        <v>50</v>
      </c>
      <c r="DF41" s="37">
        <v>80</v>
      </c>
      <c r="DG41" s="37">
        <v>40</v>
      </c>
      <c r="DH41" s="37">
        <v>200</v>
      </c>
      <c r="DI41" s="37">
        <v>60</v>
      </c>
      <c r="DJ41" s="38" t="s">
        <v>1978</v>
      </c>
      <c r="DK41" s="39" t="s">
        <v>1979</v>
      </c>
      <c r="DL41" s="40">
        <v>30</v>
      </c>
      <c r="DM41" s="39" t="s">
        <v>1980</v>
      </c>
      <c r="DN41" s="24" t="s">
        <v>182</v>
      </c>
      <c r="DO41" s="25" t="s">
        <v>183</v>
      </c>
      <c r="DP41" s="25" t="s">
        <v>183</v>
      </c>
      <c r="DQ41" s="24" t="s">
        <v>182</v>
      </c>
      <c r="DR41" s="41"/>
      <c r="DS41" s="41"/>
      <c r="DT41" s="41"/>
      <c r="DU41" s="41"/>
      <c r="DV41" s="41"/>
      <c r="DW41" s="41"/>
      <c r="DX41" s="41"/>
      <c r="DY41" s="41"/>
      <c r="DZ41" s="42" t="s">
        <v>1981</v>
      </c>
      <c r="EA41" s="42" t="s">
        <v>1982</v>
      </c>
      <c r="EB41" s="48" t="s">
        <v>239</v>
      </c>
      <c r="EC41" s="44" t="s">
        <v>1983</v>
      </c>
      <c r="ED41" s="45" t="s">
        <v>756</v>
      </c>
      <c r="EE41" s="46">
        <v>3</v>
      </c>
      <c r="EF41" s="57" t="s">
        <v>1984</v>
      </c>
    </row>
    <row r="42" spans="1:136" ht="15" customHeight="1" x14ac:dyDescent="0.25">
      <c r="A42" s="16" t="s">
        <v>2431</v>
      </c>
      <c r="B42" s="17" t="s">
        <v>2325</v>
      </c>
      <c r="C42" s="17" t="s">
        <v>2432</v>
      </c>
      <c r="D42" s="18">
        <v>136</v>
      </c>
      <c r="E42" s="18">
        <v>7.2</v>
      </c>
      <c r="F42" s="18">
        <v>23.88</v>
      </c>
      <c r="G42" s="18">
        <v>5.0999999999999996</v>
      </c>
      <c r="H42" s="18">
        <v>1.64</v>
      </c>
      <c r="I42" s="18">
        <v>42</v>
      </c>
      <c r="J42" s="18">
        <v>1.6</v>
      </c>
      <c r="K42" s="18">
        <v>68</v>
      </c>
      <c r="L42" s="18">
        <v>127</v>
      </c>
      <c r="M42" s="18">
        <v>552</v>
      </c>
      <c r="N42" s="18">
        <v>5</v>
      </c>
      <c r="O42" s="18">
        <v>1.04</v>
      </c>
      <c r="P42" s="18">
        <v>0.13400000000000001</v>
      </c>
      <c r="Q42" s="18">
        <v>0.57399999999999995</v>
      </c>
      <c r="R42" s="18">
        <v>1.5</v>
      </c>
      <c r="S42" s="18">
        <v>67</v>
      </c>
      <c r="T42" s="18">
        <v>0.39</v>
      </c>
      <c r="U42" s="18">
        <v>39</v>
      </c>
      <c r="V42" s="18">
        <v>0.4</v>
      </c>
      <c r="W42" s="18">
        <v>0.17</v>
      </c>
      <c r="X42" s="18">
        <v>2.2000000000000002</v>
      </c>
      <c r="Y42" s="18">
        <v>6.8000000000000005E-2</v>
      </c>
      <c r="Z42" s="18">
        <v>0</v>
      </c>
      <c r="AA42" s="18">
        <v>173</v>
      </c>
      <c r="AB42" s="18">
        <v>576</v>
      </c>
      <c r="AC42" s="18" t="s">
        <v>2433</v>
      </c>
      <c r="AD42" s="18" t="s">
        <v>2434</v>
      </c>
      <c r="AE42" s="18" t="s">
        <v>2062</v>
      </c>
      <c r="AF42" s="18" t="s">
        <v>2435</v>
      </c>
      <c r="AG42" s="18" t="s">
        <v>2436</v>
      </c>
      <c r="AH42" s="18" t="s">
        <v>2437</v>
      </c>
      <c r="AI42" s="18" t="s">
        <v>155</v>
      </c>
      <c r="AJ42" s="18" t="s">
        <v>523</v>
      </c>
      <c r="AK42" s="18" t="s">
        <v>687</v>
      </c>
      <c r="AL42" s="18" t="s">
        <v>314</v>
      </c>
      <c r="AM42" s="18">
        <v>0</v>
      </c>
      <c r="AN42" s="18" t="s">
        <v>1584</v>
      </c>
      <c r="AO42" s="18" t="s">
        <v>161</v>
      </c>
      <c r="AP42" s="18" t="s">
        <v>161</v>
      </c>
      <c r="AQ42" s="18" t="s">
        <v>162</v>
      </c>
      <c r="AR42" s="18">
        <v>18</v>
      </c>
      <c r="AS42" s="18">
        <v>38</v>
      </c>
      <c r="AT42" s="18">
        <v>10</v>
      </c>
      <c r="AU42" s="18">
        <v>45</v>
      </c>
      <c r="AV42" s="18">
        <v>600</v>
      </c>
      <c r="AW42" s="18">
        <v>1500</v>
      </c>
      <c r="AX42" s="18">
        <v>400</v>
      </c>
      <c r="AY42" s="18">
        <v>4000</v>
      </c>
      <c r="AZ42" s="18">
        <v>5</v>
      </c>
      <c r="BA42" s="18">
        <v>7</v>
      </c>
      <c r="BB42" s="18">
        <v>4.5</v>
      </c>
      <c r="BC42" s="18">
        <v>8.4</v>
      </c>
      <c r="BD42" s="18">
        <v>0</v>
      </c>
      <c r="BE42" s="18">
        <v>0</v>
      </c>
      <c r="BF42" s="18">
        <v>25</v>
      </c>
      <c r="BG42" s="18">
        <v>30</v>
      </c>
      <c r="BH42" s="18">
        <v>3000</v>
      </c>
      <c r="BI42" s="18" t="s">
        <v>163</v>
      </c>
      <c r="BJ42" s="18" t="s">
        <v>163</v>
      </c>
      <c r="BK42" s="18" t="s">
        <v>163</v>
      </c>
      <c r="BL42" s="18" t="s">
        <v>164</v>
      </c>
      <c r="BM42" s="18" t="s">
        <v>288</v>
      </c>
      <c r="BN42" s="18" t="s">
        <v>166</v>
      </c>
      <c r="BO42" s="51" t="s">
        <v>250</v>
      </c>
      <c r="BP42" s="51" t="s">
        <v>203</v>
      </c>
      <c r="BQ42" s="51" t="s">
        <v>170</v>
      </c>
      <c r="BR42" s="51" t="s">
        <v>230</v>
      </c>
      <c r="BS42" s="51">
        <v>0</v>
      </c>
      <c r="BT42" s="51">
        <v>0</v>
      </c>
      <c r="BU42" s="51" t="s">
        <v>171</v>
      </c>
      <c r="BV42" s="51">
        <v>0</v>
      </c>
      <c r="BW42" s="51" t="s">
        <v>172</v>
      </c>
      <c r="BX42" s="51" t="s">
        <v>290</v>
      </c>
      <c r="BY42" s="51">
        <v>0</v>
      </c>
      <c r="BZ42" s="51">
        <v>0</v>
      </c>
      <c r="CA42" s="51" t="s">
        <v>508</v>
      </c>
      <c r="CB42" s="51" t="s">
        <v>651</v>
      </c>
      <c r="CC42" s="51">
        <v>0</v>
      </c>
      <c r="CD42" s="51">
        <v>0</v>
      </c>
      <c r="CE42" s="51">
        <v>0</v>
      </c>
      <c r="CF42" s="51">
        <v>0</v>
      </c>
      <c r="CG42" s="51">
        <v>90</v>
      </c>
      <c r="CH42" s="51">
        <v>365</v>
      </c>
      <c r="CI42" s="19">
        <v>1</v>
      </c>
      <c r="CJ42" s="19">
        <v>4</v>
      </c>
      <c r="CK42" s="19">
        <v>1</v>
      </c>
      <c r="CL42" s="19">
        <v>3</v>
      </c>
      <c r="CM42" s="17" t="s">
        <v>2438</v>
      </c>
      <c r="CN42" s="20">
        <v>0.5</v>
      </c>
      <c r="CO42" s="20">
        <v>3</v>
      </c>
      <c r="CP42" s="17" t="s">
        <v>2439</v>
      </c>
      <c r="CQ42" s="17" t="s">
        <v>209</v>
      </c>
      <c r="CR42" s="21">
        <v>5</v>
      </c>
      <c r="CS42" s="21">
        <v>3</v>
      </c>
      <c r="CT42" s="21">
        <v>8</v>
      </c>
      <c r="CU42" s="21">
        <v>2</v>
      </c>
      <c r="CV42" s="21">
        <v>3</v>
      </c>
      <c r="CW42" s="21">
        <v>2</v>
      </c>
      <c r="CX42" s="21">
        <v>2</v>
      </c>
      <c r="CY42" s="21">
        <v>10</v>
      </c>
      <c r="CZ42" s="21">
        <v>5</v>
      </c>
      <c r="DA42" s="21">
        <v>140</v>
      </c>
      <c r="DB42" s="21">
        <v>70</v>
      </c>
      <c r="DC42" s="21">
        <v>250</v>
      </c>
      <c r="DD42" s="21">
        <v>20</v>
      </c>
      <c r="DE42" s="21">
        <v>30</v>
      </c>
      <c r="DF42" s="21">
        <v>20</v>
      </c>
      <c r="DG42" s="21">
        <v>20</v>
      </c>
      <c r="DH42" s="21">
        <v>350</v>
      </c>
      <c r="DI42" s="21">
        <v>80</v>
      </c>
      <c r="DJ42" s="17" t="s">
        <v>2440</v>
      </c>
      <c r="DK42" s="17" t="s">
        <v>1979</v>
      </c>
      <c r="DL42" s="22">
        <v>150</v>
      </c>
      <c r="DM42" s="17" t="s">
        <v>2441</v>
      </c>
      <c r="DN42" s="23"/>
      <c r="DO42" s="23"/>
      <c r="DP42" s="23"/>
      <c r="DQ42" s="24" t="s">
        <v>182</v>
      </c>
      <c r="DR42" s="25" t="s">
        <v>183</v>
      </c>
      <c r="DS42" s="25" t="s">
        <v>183</v>
      </c>
      <c r="DT42" s="25" t="s">
        <v>183</v>
      </c>
      <c r="DU42" s="24" t="s">
        <v>182</v>
      </c>
      <c r="DV42" s="23"/>
      <c r="DW42" s="23"/>
      <c r="DX42" s="23"/>
      <c r="DY42" s="23"/>
      <c r="DZ42" s="17" t="s">
        <v>2442</v>
      </c>
      <c r="EA42" s="17" t="s">
        <v>2443</v>
      </c>
      <c r="EB42" s="48" t="s">
        <v>239</v>
      </c>
      <c r="EC42" s="17" t="s">
        <v>2202</v>
      </c>
      <c r="ED42" s="27" t="s">
        <v>1500</v>
      </c>
      <c r="EE42" s="22">
        <v>2</v>
      </c>
      <c r="EF42" s="9" t="s">
        <v>1501</v>
      </c>
    </row>
    <row r="43" spans="1:136" ht="15" customHeight="1" x14ac:dyDescent="0.25">
      <c r="A43" s="16" t="s">
        <v>2531</v>
      </c>
      <c r="B43" s="29" t="s">
        <v>2532</v>
      </c>
      <c r="C43" s="29" t="s">
        <v>2533</v>
      </c>
      <c r="D43" s="30">
        <v>17.7</v>
      </c>
      <c r="E43" s="30">
        <v>0.6</v>
      </c>
      <c r="F43" s="30">
        <v>0.1</v>
      </c>
      <c r="G43" s="30">
        <v>1.8</v>
      </c>
      <c r="H43" s="30">
        <v>1.6</v>
      </c>
      <c r="I43" s="30">
        <v>44</v>
      </c>
      <c r="J43" s="30">
        <v>0.22</v>
      </c>
      <c r="K43" s="30">
        <v>11</v>
      </c>
      <c r="L43" s="30">
        <v>28</v>
      </c>
      <c r="M43" s="30">
        <v>291</v>
      </c>
      <c r="N43" s="30">
        <v>90</v>
      </c>
      <c r="O43" s="30">
        <v>0.19</v>
      </c>
      <c r="P43" s="30">
        <v>2.5000000000000001E-2</v>
      </c>
      <c r="Q43" s="30">
        <v>0.14000000000000001</v>
      </c>
      <c r="R43" s="30">
        <v>1.5</v>
      </c>
      <c r="S43" s="30">
        <v>10</v>
      </c>
      <c r="T43" s="30">
        <v>0.01</v>
      </c>
      <c r="U43" s="30">
        <v>4</v>
      </c>
      <c r="V43" s="30">
        <v>2.5000000000000001E-2</v>
      </c>
      <c r="W43" s="30">
        <v>2.5000000000000001E-2</v>
      </c>
      <c r="X43" s="30">
        <v>0.2</v>
      </c>
      <c r="Y43" s="30">
        <v>0.04</v>
      </c>
      <c r="Z43" s="30">
        <v>0</v>
      </c>
      <c r="AA43" s="30">
        <v>23</v>
      </c>
      <c r="AB43" s="31">
        <v>432</v>
      </c>
      <c r="AC43" s="31" t="s">
        <v>2534</v>
      </c>
      <c r="AD43" s="31" t="s">
        <v>221</v>
      </c>
      <c r="AE43" s="31" t="s">
        <v>195</v>
      </c>
      <c r="AF43" s="31"/>
      <c r="AG43" s="31" t="s">
        <v>2535</v>
      </c>
      <c r="AH43" s="31" t="s">
        <v>2535</v>
      </c>
      <c r="AI43" s="31" t="s">
        <v>155</v>
      </c>
      <c r="AJ43" s="31" t="s">
        <v>156</v>
      </c>
      <c r="AK43" s="31" t="s">
        <v>2536</v>
      </c>
      <c r="AL43" s="31" t="s">
        <v>158</v>
      </c>
      <c r="AM43" s="31" t="s">
        <v>159</v>
      </c>
      <c r="AN43" s="31" t="s">
        <v>160</v>
      </c>
      <c r="AO43" s="31" t="s">
        <v>2537</v>
      </c>
      <c r="AP43" s="31" t="s">
        <v>161</v>
      </c>
      <c r="AQ43" s="31" t="s">
        <v>362</v>
      </c>
      <c r="AR43" s="31">
        <v>18</v>
      </c>
      <c r="AS43" s="31">
        <v>25</v>
      </c>
      <c r="AT43" s="31">
        <v>4</v>
      </c>
      <c r="AU43" s="31">
        <v>28</v>
      </c>
      <c r="AV43" s="31">
        <v>1000</v>
      </c>
      <c r="AW43" s="31">
        <v>1300</v>
      </c>
      <c r="AX43" s="31">
        <v>300</v>
      </c>
      <c r="AY43" s="31">
        <v>2800</v>
      </c>
      <c r="AZ43" s="31">
        <v>5.8</v>
      </c>
      <c r="BA43" s="31">
        <v>6.8</v>
      </c>
      <c r="BB43" s="31">
        <v>4.5</v>
      </c>
      <c r="BC43" s="31">
        <v>8.3000000000000007</v>
      </c>
      <c r="BD43" s="31">
        <v>20</v>
      </c>
      <c r="BE43" s="31">
        <v>10</v>
      </c>
      <c r="BF43" s="31">
        <v>55</v>
      </c>
      <c r="BG43" s="31">
        <v>60</v>
      </c>
      <c r="BH43" s="31">
        <v>2000</v>
      </c>
      <c r="BI43" s="31" t="s">
        <v>163</v>
      </c>
      <c r="BJ43" s="31" t="s">
        <v>164</v>
      </c>
      <c r="BK43" s="31" t="s">
        <v>163</v>
      </c>
      <c r="BL43" s="31" t="s">
        <v>165</v>
      </c>
      <c r="BM43" s="31" t="s">
        <v>166</v>
      </c>
      <c r="BN43" s="31" t="s">
        <v>201</v>
      </c>
      <c r="BO43" s="31" t="s">
        <v>167</v>
      </c>
      <c r="BP43" s="31" t="s">
        <v>567</v>
      </c>
      <c r="BQ43" s="31" t="s">
        <v>169</v>
      </c>
      <c r="BR43" s="31" t="s">
        <v>170</v>
      </c>
      <c r="BS43" s="31"/>
      <c r="BT43" s="31"/>
      <c r="BU43" s="31" t="s">
        <v>171</v>
      </c>
      <c r="BV43" s="31" t="s">
        <v>171</v>
      </c>
      <c r="BW43" s="31" t="s">
        <v>172</v>
      </c>
      <c r="BX43" s="31" t="s">
        <v>172</v>
      </c>
      <c r="BY43" s="31">
        <v>-5</v>
      </c>
      <c r="BZ43" s="31">
        <v>-1</v>
      </c>
      <c r="CA43" s="31" t="s">
        <v>204</v>
      </c>
      <c r="CB43" s="31" t="s">
        <v>2538</v>
      </c>
      <c r="CC43" s="31"/>
      <c r="CD43" s="31"/>
      <c r="CE43" s="31"/>
      <c r="CF43" s="31" t="s">
        <v>175</v>
      </c>
      <c r="CG43" s="31">
        <v>80</v>
      </c>
      <c r="CH43" s="31">
        <v>160</v>
      </c>
      <c r="CI43" s="32">
        <v>0.5</v>
      </c>
      <c r="CJ43" s="32">
        <v>1</v>
      </c>
      <c r="CK43" s="32">
        <v>0.3</v>
      </c>
      <c r="CL43" s="32">
        <v>0.5</v>
      </c>
      <c r="CM43" s="33" t="s">
        <v>1856</v>
      </c>
      <c r="CN43" s="34">
        <v>10</v>
      </c>
      <c r="CO43" s="34">
        <v>70</v>
      </c>
      <c r="CP43" s="35" t="s">
        <v>2539</v>
      </c>
      <c r="CQ43" s="35" t="s">
        <v>178</v>
      </c>
      <c r="CR43" s="36">
        <v>5</v>
      </c>
      <c r="CS43" s="36">
        <v>8</v>
      </c>
      <c r="CT43" s="36">
        <v>8</v>
      </c>
      <c r="CU43" s="36">
        <v>4</v>
      </c>
      <c r="CV43" s="36">
        <v>5</v>
      </c>
      <c r="CW43" s="36">
        <v>0</v>
      </c>
      <c r="CX43" s="36">
        <v>6</v>
      </c>
      <c r="CY43" s="36">
        <v>12</v>
      </c>
      <c r="CZ43" s="36">
        <v>8</v>
      </c>
      <c r="DA43" s="37">
        <v>140</v>
      </c>
      <c r="DB43" s="37">
        <v>200</v>
      </c>
      <c r="DC43" s="37">
        <v>250</v>
      </c>
      <c r="DD43" s="37">
        <v>30</v>
      </c>
      <c r="DE43" s="37">
        <v>40</v>
      </c>
      <c r="DF43" s="37">
        <v>0</v>
      </c>
      <c r="DG43" s="37">
        <v>60</v>
      </c>
      <c r="DH43" s="37">
        <v>350</v>
      </c>
      <c r="DI43" s="37">
        <v>150</v>
      </c>
      <c r="DJ43" s="38" t="s">
        <v>1909</v>
      </c>
      <c r="DK43" s="39" t="s">
        <v>180</v>
      </c>
      <c r="DL43" s="40">
        <v>75</v>
      </c>
      <c r="DM43" s="39" t="s">
        <v>2540</v>
      </c>
      <c r="DN43" s="41"/>
      <c r="DO43" s="41"/>
      <c r="DP43" s="41"/>
      <c r="DQ43" s="24" t="s">
        <v>182</v>
      </c>
      <c r="DR43" s="25" t="s">
        <v>183</v>
      </c>
      <c r="DS43" s="25" t="s">
        <v>183</v>
      </c>
      <c r="DT43" s="25" t="s">
        <v>183</v>
      </c>
      <c r="DU43" s="25" t="s">
        <v>183</v>
      </c>
      <c r="DV43" s="25" t="s">
        <v>183</v>
      </c>
      <c r="DW43" s="24" t="s">
        <v>182</v>
      </c>
      <c r="DX43" s="24" t="s">
        <v>182</v>
      </c>
      <c r="DY43" s="41"/>
      <c r="DZ43" s="42" t="s">
        <v>2541</v>
      </c>
      <c r="EA43" s="42" t="s">
        <v>2542</v>
      </c>
      <c r="EB43" s="26" t="s">
        <v>186</v>
      </c>
      <c r="EC43" s="44" t="s">
        <v>2543</v>
      </c>
      <c r="ED43" s="45" t="s">
        <v>188</v>
      </c>
      <c r="EE43" s="46">
        <v>1</v>
      </c>
      <c r="EF43" s="53" t="s">
        <v>757</v>
      </c>
    </row>
    <row r="44" spans="1:136" ht="15" customHeight="1" x14ac:dyDescent="0.25">
      <c r="A44" s="16" t="s">
        <v>2374</v>
      </c>
      <c r="B44" s="17" t="s">
        <v>2325</v>
      </c>
      <c r="C44" s="17" t="s">
        <v>2375</v>
      </c>
      <c r="D44" s="18">
        <v>46</v>
      </c>
      <c r="E44" s="18">
        <v>2.1</v>
      </c>
      <c r="F44" s="18">
        <v>9.19</v>
      </c>
      <c r="G44" s="18">
        <v>3.3</v>
      </c>
      <c r="H44" s="18">
        <v>0.2</v>
      </c>
      <c r="I44" s="18">
        <v>50</v>
      </c>
      <c r="J44" s="18">
        <v>0.74</v>
      </c>
      <c r="K44" s="18">
        <v>40</v>
      </c>
      <c r="L44" s="18">
        <v>49</v>
      </c>
      <c r="M44" s="18">
        <v>252</v>
      </c>
      <c r="N44" s="18">
        <v>2</v>
      </c>
      <c r="O44" s="18">
        <v>0.37</v>
      </c>
      <c r="P44" s="18">
        <v>4.7E-2</v>
      </c>
      <c r="Q44" s="18">
        <v>0.20499999999999999</v>
      </c>
      <c r="R44" s="18">
        <v>1.5</v>
      </c>
      <c r="S44" s="18">
        <v>864</v>
      </c>
      <c r="T44" s="18">
        <v>0.51</v>
      </c>
      <c r="U44" s="18">
        <v>12.9</v>
      </c>
      <c r="V44" s="18">
        <v>7.6999999999999999E-2</v>
      </c>
      <c r="W44" s="18">
        <v>9.1999999999999998E-2</v>
      </c>
      <c r="X44" s="18">
        <v>0.52</v>
      </c>
      <c r="Y44" s="18">
        <v>2.4E-2</v>
      </c>
      <c r="Z44" s="18">
        <v>0</v>
      </c>
      <c r="AA44" s="18">
        <v>62</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8">
        <v>0</v>
      </c>
      <c r="AZ44" s="18">
        <v>0</v>
      </c>
      <c r="BA44" s="18">
        <v>0</v>
      </c>
      <c r="BB44" s="18">
        <v>0</v>
      </c>
      <c r="BC44" s="18">
        <v>0</v>
      </c>
      <c r="BD44" s="18">
        <v>0</v>
      </c>
      <c r="BE44" s="18">
        <v>0</v>
      </c>
      <c r="BF44" s="18">
        <v>0</v>
      </c>
      <c r="BG44" s="18">
        <v>0</v>
      </c>
      <c r="BH44" s="18">
        <v>0</v>
      </c>
      <c r="BI44" s="18">
        <v>0</v>
      </c>
      <c r="BJ44" s="18">
        <v>0</v>
      </c>
      <c r="BK44" s="18">
        <v>0</v>
      </c>
      <c r="BL44" s="18">
        <v>0</v>
      </c>
      <c r="BM44" s="18">
        <v>0</v>
      </c>
      <c r="BN44" s="18">
        <v>0</v>
      </c>
      <c r="BO44" s="51">
        <v>0</v>
      </c>
      <c r="BP44" s="51">
        <v>0</v>
      </c>
      <c r="BQ44" s="51">
        <v>0</v>
      </c>
      <c r="BR44" s="51">
        <v>0</v>
      </c>
      <c r="BS44" s="51">
        <v>0</v>
      </c>
      <c r="BT44" s="51">
        <v>0</v>
      </c>
      <c r="BU44" s="51">
        <v>0</v>
      </c>
      <c r="BV44" s="51">
        <v>0</v>
      </c>
      <c r="BW44" s="51">
        <v>0</v>
      </c>
      <c r="BX44" s="51">
        <v>0</v>
      </c>
      <c r="BY44" s="51">
        <v>0</v>
      </c>
      <c r="BZ44" s="51">
        <v>0</v>
      </c>
      <c r="CA44" s="51">
        <v>0</v>
      </c>
      <c r="CB44" s="51">
        <v>0</v>
      </c>
      <c r="CC44" s="51">
        <v>0</v>
      </c>
      <c r="CD44" s="51">
        <v>0</v>
      </c>
      <c r="CE44" s="51">
        <v>0</v>
      </c>
      <c r="CF44" s="51">
        <v>0</v>
      </c>
      <c r="CG44" s="51">
        <v>0</v>
      </c>
      <c r="CH44" s="51">
        <v>0</v>
      </c>
      <c r="CI44" s="19">
        <v>2</v>
      </c>
      <c r="CJ44" s="19">
        <v>6</v>
      </c>
      <c r="CK44" s="19">
        <v>1</v>
      </c>
      <c r="CL44" s="19">
        <v>3</v>
      </c>
      <c r="CM44" s="17" t="s">
        <v>2376</v>
      </c>
      <c r="CN44" s="20">
        <v>0.5</v>
      </c>
      <c r="CO44" s="20">
        <v>3</v>
      </c>
      <c r="CP44" s="17" t="s">
        <v>2377</v>
      </c>
      <c r="CQ44" s="17" t="s">
        <v>296</v>
      </c>
      <c r="CR44" s="21">
        <v>4</v>
      </c>
      <c r="CS44" s="21">
        <v>3</v>
      </c>
      <c r="CT44" s="21">
        <v>8</v>
      </c>
      <c r="CU44" s="21">
        <v>2</v>
      </c>
      <c r="CV44" s="21">
        <v>3</v>
      </c>
      <c r="CW44" s="21">
        <v>5</v>
      </c>
      <c r="CX44" s="21">
        <v>3</v>
      </c>
      <c r="CY44" s="21">
        <v>15</v>
      </c>
      <c r="CZ44" s="21">
        <v>5</v>
      </c>
      <c r="DA44" s="21">
        <v>130</v>
      </c>
      <c r="DB44" s="21">
        <v>70</v>
      </c>
      <c r="DC44" s="21">
        <v>250</v>
      </c>
      <c r="DD44" s="21">
        <v>20</v>
      </c>
      <c r="DE44" s="21">
        <v>25</v>
      </c>
      <c r="DF44" s="21">
        <v>50</v>
      </c>
      <c r="DG44" s="21">
        <v>30</v>
      </c>
      <c r="DH44" s="21">
        <v>400</v>
      </c>
      <c r="DI44" s="21">
        <v>80</v>
      </c>
      <c r="DJ44" s="17" t="s">
        <v>2378</v>
      </c>
      <c r="DK44" s="17" t="s">
        <v>1979</v>
      </c>
      <c r="DL44" s="22">
        <v>150</v>
      </c>
      <c r="DM44" s="17" t="s">
        <v>2379</v>
      </c>
      <c r="DN44" s="24" t="s">
        <v>182</v>
      </c>
      <c r="DO44" s="25" t="s">
        <v>183</v>
      </c>
      <c r="DP44" s="25" t="s">
        <v>183</v>
      </c>
      <c r="DQ44" s="25" t="s">
        <v>183</v>
      </c>
      <c r="DR44" s="24" t="s">
        <v>182</v>
      </c>
      <c r="DS44" s="23"/>
      <c r="DT44" s="23"/>
      <c r="DU44" s="23"/>
      <c r="DV44" s="23"/>
      <c r="DW44" s="23"/>
      <c r="DX44" s="23"/>
      <c r="DY44" s="23"/>
      <c r="DZ44" s="17" t="s">
        <v>2380</v>
      </c>
      <c r="EA44" s="17" t="s">
        <v>2381</v>
      </c>
      <c r="EB44" s="48" t="s">
        <v>239</v>
      </c>
      <c r="EC44" s="17" t="s">
        <v>2202</v>
      </c>
      <c r="ED44" s="27" t="s">
        <v>1500</v>
      </c>
      <c r="EE44" s="22">
        <v>2</v>
      </c>
      <c r="EF44" s="9" t="s">
        <v>1501</v>
      </c>
    </row>
    <row r="45" spans="1:136" ht="15" customHeight="1" x14ac:dyDescent="0.25">
      <c r="A45" s="16" t="s">
        <v>2459</v>
      </c>
      <c r="B45" s="17" t="s">
        <v>2325</v>
      </c>
      <c r="C45" s="17" t="s">
        <v>2460</v>
      </c>
      <c r="D45" s="18">
        <v>141</v>
      </c>
      <c r="E45" s="18">
        <v>12.35</v>
      </c>
      <c r="F45" s="18">
        <v>11.05</v>
      </c>
      <c r="G45" s="18">
        <v>4.2</v>
      </c>
      <c r="H45" s="18">
        <v>6.4</v>
      </c>
      <c r="I45" s="18">
        <v>145</v>
      </c>
      <c r="J45" s="18">
        <v>2.5</v>
      </c>
      <c r="K45" s="18">
        <v>60</v>
      </c>
      <c r="L45" s="18">
        <v>158</v>
      </c>
      <c r="M45" s="18">
        <v>539</v>
      </c>
      <c r="N45" s="18">
        <v>250</v>
      </c>
      <c r="O45" s="18">
        <v>0.91</v>
      </c>
      <c r="P45" s="18">
        <v>0.11700000000000001</v>
      </c>
      <c r="Q45" s="18">
        <v>0.502</v>
      </c>
      <c r="R45" s="18">
        <v>1.4</v>
      </c>
      <c r="S45" s="18">
        <v>156</v>
      </c>
      <c r="T45" s="18">
        <v>0</v>
      </c>
      <c r="U45" s="18">
        <v>17</v>
      </c>
      <c r="V45" s="18">
        <v>0.26</v>
      </c>
      <c r="W45" s="18">
        <v>0.155</v>
      </c>
      <c r="X45" s="18">
        <v>1.25</v>
      </c>
      <c r="Y45" s="18">
        <v>0.06</v>
      </c>
      <c r="Z45" s="18">
        <v>0</v>
      </c>
      <c r="AA45" s="18">
        <v>111</v>
      </c>
      <c r="AB45" s="18">
        <v>1150</v>
      </c>
      <c r="AC45" s="18" t="s">
        <v>2461</v>
      </c>
      <c r="AD45" s="18" t="s">
        <v>2462</v>
      </c>
      <c r="AE45" s="18" t="s">
        <v>2062</v>
      </c>
      <c r="AF45" s="18" t="s">
        <v>2463</v>
      </c>
      <c r="AG45" s="18" t="s">
        <v>2464</v>
      </c>
      <c r="AH45" s="18" t="s">
        <v>2465</v>
      </c>
      <c r="AI45" s="18" t="s">
        <v>155</v>
      </c>
      <c r="AJ45" s="18" t="s">
        <v>156</v>
      </c>
      <c r="AK45" s="18" t="s">
        <v>157</v>
      </c>
      <c r="AL45" s="18" t="s">
        <v>282</v>
      </c>
      <c r="AM45" s="18" t="s">
        <v>283</v>
      </c>
      <c r="AN45" s="18">
        <v>0</v>
      </c>
      <c r="AO45" s="18" t="s">
        <v>2066</v>
      </c>
      <c r="AP45" s="18" t="s">
        <v>2066</v>
      </c>
      <c r="AQ45" s="18" t="s">
        <v>162</v>
      </c>
      <c r="AR45" s="18">
        <v>20</v>
      </c>
      <c r="AS45" s="18">
        <v>33</v>
      </c>
      <c r="AT45" s="18">
        <v>10</v>
      </c>
      <c r="AU45" s="18">
        <v>38</v>
      </c>
      <c r="AV45" s="18">
        <v>600</v>
      </c>
      <c r="AW45" s="18">
        <v>1500</v>
      </c>
      <c r="AX45" s="18">
        <v>450</v>
      </c>
      <c r="AY45" s="18">
        <v>1800</v>
      </c>
      <c r="AZ45" s="18">
        <v>5.5</v>
      </c>
      <c r="BA45" s="18">
        <v>6.5</v>
      </c>
      <c r="BB45" s="18">
        <v>4.5</v>
      </c>
      <c r="BC45" s="18">
        <v>8.4</v>
      </c>
      <c r="BD45" s="18">
        <v>0</v>
      </c>
      <c r="BE45" s="18">
        <v>0</v>
      </c>
      <c r="BF45" s="18">
        <v>47</v>
      </c>
      <c r="BG45" s="18">
        <v>52</v>
      </c>
      <c r="BH45" s="18">
        <v>3000</v>
      </c>
      <c r="BI45" s="18" t="s">
        <v>163</v>
      </c>
      <c r="BJ45" s="18" t="s">
        <v>163</v>
      </c>
      <c r="BK45" s="18" t="s">
        <v>163</v>
      </c>
      <c r="BL45" s="18" t="s">
        <v>164</v>
      </c>
      <c r="BM45" s="18" t="s">
        <v>166</v>
      </c>
      <c r="BN45" s="18" t="s">
        <v>201</v>
      </c>
      <c r="BO45" s="51" t="s">
        <v>167</v>
      </c>
      <c r="BP45" s="51" t="s">
        <v>203</v>
      </c>
      <c r="BQ45" s="51" t="s">
        <v>169</v>
      </c>
      <c r="BR45" s="51" t="s">
        <v>230</v>
      </c>
      <c r="BS45" s="51">
        <v>0</v>
      </c>
      <c r="BT45" s="51">
        <v>0</v>
      </c>
      <c r="BU45" s="51" t="s">
        <v>171</v>
      </c>
      <c r="BV45" s="51" t="s">
        <v>231</v>
      </c>
      <c r="BW45" s="51" t="s">
        <v>172</v>
      </c>
      <c r="BX45" s="51" t="s">
        <v>882</v>
      </c>
      <c r="BY45" s="51">
        <v>0</v>
      </c>
      <c r="BZ45" s="51">
        <v>0</v>
      </c>
      <c r="CA45" s="51" t="s">
        <v>291</v>
      </c>
      <c r="CB45" s="51" t="s">
        <v>1840</v>
      </c>
      <c r="CC45" s="51">
        <v>0</v>
      </c>
      <c r="CD45" s="51">
        <v>0</v>
      </c>
      <c r="CE45" s="51">
        <v>0</v>
      </c>
      <c r="CF45" s="51">
        <v>0</v>
      </c>
      <c r="CG45" s="51">
        <v>75</v>
      </c>
      <c r="CH45" s="51">
        <v>180</v>
      </c>
      <c r="CI45" s="32">
        <v>0.5</v>
      </c>
      <c r="CJ45" s="32">
        <v>1.5</v>
      </c>
      <c r="CK45" s="32">
        <v>0.2</v>
      </c>
      <c r="CL45" s="32">
        <v>0.5</v>
      </c>
      <c r="CM45" s="33" t="s">
        <v>2466</v>
      </c>
      <c r="CN45" s="34">
        <v>1.5</v>
      </c>
      <c r="CO45" s="34">
        <v>5</v>
      </c>
      <c r="CP45" s="35" t="s">
        <v>2467</v>
      </c>
      <c r="CQ45" s="35" t="s">
        <v>209</v>
      </c>
      <c r="CR45" s="36">
        <v>3</v>
      </c>
      <c r="CS45" s="36">
        <v>1</v>
      </c>
      <c r="CT45" s="36">
        <v>2</v>
      </c>
      <c r="CU45" s="36">
        <v>1</v>
      </c>
      <c r="CV45" s="36">
        <v>1</v>
      </c>
      <c r="CW45" s="36">
        <v>0</v>
      </c>
      <c r="CX45" s="36">
        <v>1</v>
      </c>
      <c r="CY45" s="36">
        <v>2</v>
      </c>
      <c r="CZ45" s="36">
        <v>1</v>
      </c>
      <c r="DA45" s="37">
        <v>120</v>
      </c>
      <c r="DB45" s="37">
        <v>50</v>
      </c>
      <c r="DC45" s="37">
        <v>100</v>
      </c>
      <c r="DD45" s="37">
        <v>15</v>
      </c>
      <c r="DE45" s="37">
        <v>15</v>
      </c>
      <c r="DF45" s="37">
        <v>0</v>
      </c>
      <c r="DG45" s="37">
        <v>10</v>
      </c>
      <c r="DH45" s="37">
        <v>200</v>
      </c>
      <c r="DI45" s="37">
        <v>40</v>
      </c>
      <c r="DJ45" s="38" t="s">
        <v>2468</v>
      </c>
      <c r="DK45" s="39" t="s">
        <v>1979</v>
      </c>
      <c r="DL45" s="40">
        <v>150</v>
      </c>
      <c r="DM45" s="39" t="s">
        <v>2469</v>
      </c>
      <c r="DN45" s="41"/>
      <c r="DO45" s="24" t="s">
        <v>182</v>
      </c>
      <c r="DP45" s="25" t="s">
        <v>183</v>
      </c>
      <c r="DQ45" s="25" t="s">
        <v>183</v>
      </c>
      <c r="DR45" s="24" t="s">
        <v>182</v>
      </c>
      <c r="DS45" s="41"/>
      <c r="DT45" s="41"/>
      <c r="DU45" s="41"/>
      <c r="DV45" s="41"/>
      <c r="DW45" s="41"/>
      <c r="DX45" s="41"/>
      <c r="DY45" s="41"/>
      <c r="DZ45" s="42" t="s">
        <v>2470</v>
      </c>
      <c r="EA45" s="42" t="s">
        <v>2471</v>
      </c>
      <c r="EB45" s="48" t="s">
        <v>239</v>
      </c>
      <c r="EC45" s="44" t="s">
        <v>2364</v>
      </c>
      <c r="ED45" s="45" t="s">
        <v>1518</v>
      </c>
      <c r="EE45" s="46">
        <v>2</v>
      </c>
      <c r="EF45" s="57" t="s">
        <v>1519</v>
      </c>
    </row>
    <row r="46" spans="1:136" ht="15" customHeight="1" x14ac:dyDescent="0.25">
      <c r="A46" s="16" t="s">
        <v>2173</v>
      </c>
      <c r="B46" s="17" t="s">
        <v>2174</v>
      </c>
      <c r="C46" s="17" t="s">
        <v>2175</v>
      </c>
      <c r="D46" s="18">
        <v>239</v>
      </c>
      <c r="E46" s="18">
        <v>2.8</v>
      </c>
      <c r="F46" s="18">
        <v>62.5</v>
      </c>
      <c r="G46" s="18">
        <v>5.0999999999999996</v>
      </c>
      <c r="H46" s="18">
        <v>0.6</v>
      </c>
      <c r="I46" s="18">
        <v>74</v>
      </c>
      <c r="J46" s="18">
        <v>2.8</v>
      </c>
      <c r="K46" s="18">
        <v>92</v>
      </c>
      <c r="L46" s="18">
        <v>113</v>
      </c>
      <c r="M46" s="18">
        <v>628</v>
      </c>
      <c r="N46" s="18">
        <v>28</v>
      </c>
      <c r="O46" s="18">
        <v>0.1</v>
      </c>
      <c r="P46" s="18">
        <v>8.5999999999999993E-2</v>
      </c>
      <c r="Q46" s="18">
        <v>0</v>
      </c>
      <c r="R46" s="18">
        <v>1.3</v>
      </c>
      <c r="S46" s="18">
        <v>30</v>
      </c>
      <c r="T46" s="18">
        <v>0.1</v>
      </c>
      <c r="U46" s="18">
        <v>3.5</v>
      </c>
      <c r="V46" s="18">
        <v>0.42799999999999999</v>
      </c>
      <c r="W46" s="18">
        <v>0.152</v>
      </c>
      <c r="X46" s="18">
        <v>1.9379999999999999</v>
      </c>
      <c r="Y46" s="18">
        <v>6.6000000000000003E-2</v>
      </c>
      <c r="Z46" s="18">
        <v>0</v>
      </c>
      <c r="AA46" s="18">
        <v>14</v>
      </c>
      <c r="AB46" s="18">
        <v>2047</v>
      </c>
      <c r="AC46" s="18" t="s">
        <v>2176</v>
      </c>
      <c r="AD46" s="18" t="s">
        <v>221</v>
      </c>
      <c r="AE46" s="18" t="s">
        <v>2062</v>
      </c>
      <c r="AF46" s="18" t="s">
        <v>2177</v>
      </c>
      <c r="AG46" s="18" t="s">
        <v>2178</v>
      </c>
      <c r="AH46" s="18" t="s">
        <v>2179</v>
      </c>
      <c r="AI46" s="18" t="s">
        <v>155</v>
      </c>
      <c r="AJ46" s="18" t="s">
        <v>337</v>
      </c>
      <c r="AK46" s="18" t="s">
        <v>157</v>
      </c>
      <c r="AL46" s="18" t="s">
        <v>314</v>
      </c>
      <c r="AM46" s="18">
        <v>0</v>
      </c>
      <c r="AN46" s="18" t="s">
        <v>160</v>
      </c>
      <c r="AO46" s="18" t="s">
        <v>2122</v>
      </c>
      <c r="AP46" s="18" t="s">
        <v>419</v>
      </c>
      <c r="AQ46" s="18" t="s">
        <v>341</v>
      </c>
      <c r="AR46" s="18">
        <v>20</v>
      </c>
      <c r="AS46" s="18">
        <v>35</v>
      </c>
      <c r="AT46" s="18">
        <v>12</v>
      </c>
      <c r="AU46" s="18">
        <v>45</v>
      </c>
      <c r="AV46" s="18">
        <v>800</v>
      </c>
      <c r="AW46" s="18">
        <v>3000</v>
      </c>
      <c r="AX46" s="18">
        <v>300</v>
      </c>
      <c r="AY46" s="18">
        <v>4500</v>
      </c>
      <c r="AZ46" s="18">
        <v>5.5</v>
      </c>
      <c r="BA46" s="18">
        <v>6.5</v>
      </c>
      <c r="BB46" s="18">
        <v>4.5</v>
      </c>
      <c r="BC46" s="18">
        <v>8.5</v>
      </c>
      <c r="BD46" s="18">
        <v>0</v>
      </c>
      <c r="BE46" s="18">
        <v>0</v>
      </c>
      <c r="BF46" s="18">
        <v>15</v>
      </c>
      <c r="BG46" s="18">
        <v>20</v>
      </c>
      <c r="BH46" s="18">
        <v>1500</v>
      </c>
      <c r="BI46" s="18" t="s">
        <v>163</v>
      </c>
      <c r="BJ46" s="18" t="s">
        <v>164</v>
      </c>
      <c r="BK46" s="18" t="s">
        <v>163</v>
      </c>
      <c r="BL46" s="18" t="s">
        <v>317</v>
      </c>
      <c r="BM46" s="18" t="s">
        <v>288</v>
      </c>
      <c r="BN46" s="18" t="s">
        <v>201</v>
      </c>
      <c r="BO46" s="51" t="s">
        <v>250</v>
      </c>
      <c r="BP46" s="51" t="s">
        <v>203</v>
      </c>
      <c r="BQ46" s="51" t="s">
        <v>170</v>
      </c>
      <c r="BR46" s="51" t="s">
        <v>230</v>
      </c>
      <c r="BS46" s="51">
        <v>0</v>
      </c>
      <c r="BT46" s="51">
        <v>0</v>
      </c>
      <c r="BU46" s="51" t="s">
        <v>171</v>
      </c>
      <c r="BV46" s="51" t="s">
        <v>748</v>
      </c>
      <c r="BW46" s="51" t="s">
        <v>172</v>
      </c>
      <c r="BX46" s="51" t="s">
        <v>290</v>
      </c>
      <c r="BY46" s="51">
        <v>-3</v>
      </c>
      <c r="BZ46" s="51">
        <v>-1</v>
      </c>
      <c r="CA46" s="51" t="s">
        <v>173</v>
      </c>
      <c r="CB46" s="51" t="s">
        <v>2180</v>
      </c>
      <c r="CC46" s="51">
        <v>0</v>
      </c>
      <c r="CD46" s="51">
        <v>0</v>
      </c>
      <c r="CE46" s="51">
        <v>0</v>
      </c>
      <c r="CF46" s="51" t="s">
        <v>206</v>
      </c>
      <c r="CG46" s="51">
        <v>70</v>
      </c>
      <c r="CH46" s="51">
        <v>210</v>
      </c>
      <c r="CI46" s="19">
        <v>10</v>
      </c>
      <c r="CJ46" s="19">
        <v>25</v>
      </c>
      <c r="CK46" s="19">
        <v>8</v>
      </c>
      <c r="CL46" s="19">
        <v>20</v>
      </c>
      <c r="CM46" s="17" t="s">
        <v>2181</v>
      </c>
      <c r="CN46" s="20">
        <v>2</v>
      </c>
      <c r="CO46" s="20">
        <v>10</v>
      </c>
      <c r="CP46" s="17" t="s">
        <v>2182</v>
      </c>
      <c r="CQ46" s="17" t="s">
        <v>296</v>
      </c>
      <c r="CR46" s="21">
        <v>0</v>
      </c>
      <c r="CS46" s="21">
        <v>0</v>
      </c>
      <c r="CT46" s="21">
        <v>5</v>
      </c>
      <c r="CU46" s="21">
        <v>3</v>
      </c>
      <c r="CV46" s="21">
        <v>3</v>
      </c>
      <c r="CW46" s="21">
        <v>8</v>
      </c>
      <c r="CX46" s="21">
        <v>4</v>
      </c>
      <c r="CY46" s="21">
        <v>15</v>
      </c>
      <c r="CZ46" s="21">
        <v>8</v>
      </c>
      <c r="DA46" s="21">
        <v>0</v>
      </c>
      <c r="DB46" s="21">
        <v>0</v>
      </c>
      <c r="DC46" s="21">
        <v>40</v>
      </c>
      <c r="DD46" s="21">
        <v>15</v>
      </c>
      <c r="DE46" s="21">
        <v>20</v>
      </c>
      <c r="DF46" s="21">
        <v>60</v>
      </c>
      <c r="DG46" s="21">
        <v>30</v>
      </c>
      <c r="DH46" s="21">
        <v>250</v>
      </c>
      <c r="DI46" s="21">
        <v>100</v>
      </c>
      <c r="DJ46" s="17" t="s">
        <v>2183</v>
      </c>
      <c r="DK46" s="17" t="s">
        <v>409</v>
      </c>
      <c r="DL46" s="22">
        <v>30</v>
      </c>
      <c r="DM46" s="17" t="s">
        <v>2184</v>
      </c>
      <c r="DN46" s="23"/>
      <c r="DO46" s="23"/>
      <c r="DP46" s="23"/>
      <c r="DQ46" s="23"/>
      <c r="DR46" s="23"/>
      <c r="DS46" s="23"/>
      <c r="DT46" s="23"/>
      <c r="DU46" s="24" t="s">
        <v>182</v>
      </c>
      <c r="DV46" s="25" t="s">
        <v>183</v>
      </c>
      <c r="DW46" s="25" t="s">
        <v>183</v>
      </c>
      <c r="DX46" s="25" t="s">
        <v>183</v>
      </c>
      <c r="DY46" s="24" t="s">
        <v>182</v>
      </c>
      <c r="DZ46" s="17" t="s">
        <v>2185</v>
      </c>
      <c r="EA46" s="17" t="s">
        <v>2186</v>
      </c>
      <c r="EB46" s="48" t="s">
        <v>239</v>
      </c>
      <c r="EC46" s="17" t="s">
        <v>2187</v>
      </c>
      <c r="ED46" s="27" t="s">
        <v>2129</v>
      </c>
      <c r="EE46" s="22">
        <v>5</v>
      </c>
      <c r="EF46" s="54" t="s">
        <v>304</v>
      </c>
    </row>
    <row r="47" spans="1:136" ht="15" customHeight="1" x14ac:dyDescent="0.25">
      <c r="A47" s="16" t="s">
        <v>1920</v>
      </c>
      <c r="B47" s="17" t="s">
        <v>1700</v>
      </c>
      <c r="C47" s="17" t="s">
        <v>1921</v>
      </c>
      <c r="D47" s="18">
        <v>32</v>
      </c>
      <c r="E47" s="18">
        <v>1.5</v>
      </c>
      <c r="F47" s="18">
        <v>7.13</v>
      </c>
      <c r="G47" s="18">
        <v>3.2</v>
      </c>
      <c r="H47" s="18">
        <v>0.3</v>
      </c>
      <c r="I47" s="18">
        <v>190</v>
      </c>
      <c r="J47" s="18">
        <v>1.1000000000000001</v>
      </c>
      <c r="K47" s="18">
        <v>31</v>
      </c>
      <c r="L47" s="18">
        <v>42</v>
      </c>
      <c r="M47" s="18">
        <v>296</v>
      </c>
      <c r="N47" s="18">
        <v>40</v>
      </c>
      <c r="O47" s="18">
        <v>0.19</v>
      </c>
      <c r="P47" s="18">
        <v>0.35</v>
      </c>
      <c r="Q47" s="18">
        <v>0.46600000000000003</v>
      </c>
      <c r="R47" s="18">
        <v>1.2</v>
      </c>
      <c r="S47" s="18">
        <v>11587</v>
      </c>
      <c r="T47" s="18">
        <v>2.86</v>
      </c>
      <c r="U47" s="18">
        <v>60</v>
      </c>
      <c r="V47" s="18">
        <v>7.0000000000000007E-2</v>
      </c>
      <c r="W47" s="18">
        <v>0.1</v>
      </c>
      <c r="X47" s="18">
        <v>0.6</v>
      </c>
      <c r="Y47" s="18">
        <v>0.26300000000000001</v>
      </c>
      <c r="Z47" s="18">
        <v>0</v>
      </c>
      <c r="AA47" s="18">
        <v>194</v>
      </c>
      <c r="AB47" s="18">
        <v>0</v>
      </c>
      <c r="AC47" s="18">
        <v>0</v>
      </c>
      <c r="AD47" s="18">
        <v>0</v>
      </c>
      <c r="AE47" s="18">
        <v>0</v>
      </c>
      <c r="AF47" s="18">
        <v>0</v>
      </c>
      <c r="AG47" s="18">
        <v>0</v>
      </c>
      <c r="AH47" s="18">
        <v>0</v>
      </c>
      <c r="AI47" s="18">
        <v>0</v>
      </c>
      <c r="AJ47" s="18">
        <v>0</v>
      </c>
      <c r="AK47" s="18">
        <v>0</v>
      </c>
      <c r="AL47" s="18">
        <v>0</v>
      </c>
      <c r="AM47" s="18">
        <v>0</v>
      </c>
      <c r="AN47" s="18">
        <v>0</v>
      </c>
      <c r="AO47" s="18">
        <v>0</v>
      </c>
      <c r="AP47" s="18">
        <v>0</v>
      </c>
      <c r="AQ47" s="18">
        <v>0</v>
      </c>
      <c r="AR47" s="18">
        <v>0</v>
      </c>
      <c r="AS47" s="18">
        <v>0</v>
      </c>
      <c r="AT47" s="18">
        <v>0</v>
      </c>
      <c r="AU47" s="18">
        <v>0</v>
      </c>
      <c r="AV47" s="18">
        <v>0</v>
      </c>
      <c r="AW47" s="18">
        <v>0</v>
      </c>
      <c r="AX47" s="18">
        <v>0</v>
      </c>
      <c r="AY47" s="18">
        <v>0</v>
      </c>
      <c r="AZ47" s="18">
        <v>0</v>
      </c>
      <c r="BA47" s="18">
        <v>0</v>
      </c>
      <c r="BB47" s="18">
        <v>0</v>
      </c>
      <c r="BC47" s="18">
        <v>0</v>
      </c>
      <c r="BD47" s="18">
        <v>0</v>
      </c>
      <c r="BE47" s="18">
        <v>0</v>
      </c>
      <c r="BF47" s="18">
        <v>0</v>
      </c>
      <c r="BG47" s="18">
        <v>0</v>
      </c>
      <c r="BH47" s="18">
        <v>0</v>
      </c>
      <c r="BI47" s="18">
        <v>0</v>
      </c>
      <c r="BJ47" s="18">
        <v>0</v>
      </c>
      <c r="BK47" s="18">
        <v>0</v>
      </c>
      <c r="BL47" s="18">
        <v>0</v>
      </c>
      <c r="BM47" s="18">
        <v>0</v>
      </c>
      <c r="BN47" s="18">
        <v>0</v>
      </c>
      <c r="BO47" s="51">
        <v>0</v>
      </c>
      <c r="BP47" s="51">
        <v>0</v>
      </c>
      <c r="BQ47" s="51">
        <v>0</v>
      </c>
      <c r="BR47" s="51">
        <v>0</v>
      </c>
      <c r="BS47" s="51">
        <v>0</v>
      </c>
      <c r="BT47" s="51">
        <v>0</v>
      </c>
      <c r="BU47" s="51">
        <v>0</v>
      </c>
      <c r="BV47" s="51">
        <v>0</v>
      </c>
      <c r="BW47" s="51">
        <v>0</v>
      </c>
      <c r="BX47" s="51">
        <v>0</v>
      </c>
      <c r="BY47" s="51">
        <v>0</v>
      </c>
      <c r="BZ47" s="51">
        <v>0</v>
      </c>
      <c r="CA47" s="51">
        <v>0</v>
      </c>
      <c r="CB47" s="51">
        <v>0</v>
      </c>
      <c r="CC47" s="51">
        <v>0</v>
      </c>
      <c r="CD47" s="51">
        <v>0</v>
      </c>
      <c r="CE47" s="51">
        <v>0</v>
      </c>
      <c r="CF47" s="51">
        <v>0</v>
      </c>
      <c r="CG47" s="51">
        <v>0</v>
      </c>
      <c r="CH47" s="51">
        <v>0</v>
      </c>
      <c r="CI47" s="32">
        <v>0.3</v>
      </c>
      <c r="CJ47" s="32">
        <v>0.6</v>
      </c>
      <c r="CK47" s="32">
        <v>0.2</v>
      </c>
      <c r="CL47" s="32">
        <v>0.4</v>
      </c>
      <c r="CM47" s="33" t="s">
        <v>1922</v>
      </c>
      <c r="CN47" s="34">
        <v>15</v>
      </c>
      <c r="CO47" s="34">
        <v>60</v>
      </c>
      <c r="CP47" s="35" t="s">
        <v>1923</v>
      </c>
      <c r="CQ47" s="35" t="s">
        <v>1924</v>
      </c>
      <c r="CR47" s="36">
        <v>4</v>
      </c>
      <c r="CS47" s="36">
        <v>2</v>
      </c>
      <c r="CT47" s="36">
        <v>5</v>
      </c>
      <c r="CU47" s="36">
        <v>2</v>
      </c>
      <c r="CV47" s="36">
        <v>2</v>
      </c>
      <c r="CW47" s="36">
        <v>0</v>
      </c>
      <c r="CX47" s="36">
        <v>2</v>
      </c>
      <c r="CY47" s="36">
        <v>5</v>
      </c>
      <c r="CZ47" s="36">
        <v>3</v>
      </c>
      <c r="DA47" s="37">
        <v>120</v>
      </c>
      <c r="DB47" s="37">
        <v>50</v>
      </c>
      <c r="DC47" s="37">
        <v>160</v>
      </c>
      <c r="DD47" s="37">
        <v>20</v>
      </c>
      <c r="DE47" s="37">
        <v>15</v>
      </c>
      <c r="DF47" s="37">
        <v>0</v>
      </c>
      <c r="DG47" s="37">
        <v>20</v>
      </c>
      <c r="DH47" s="37">
        <v>220</v>
      </c>
      <c r="DI47" s="37">
        <v>60</v>
      </c>
      <c r="DJ47" s="38" t="s">
        <v>837</v>
      </c>
      <c r="DK47" s="39" t="s">
        <v>180</v>
      </c>
      <c r="DL47" s="40">
        <v>75</v>
      </c>
      <c r="DM47" s="39" t="s">
        <v>1925</v>
      </c>
      <c r="DN47" s="41"/>
      <c r="DO47" s="41"/>
      <c r="DP47" s="41"/>
      <c r="DQ47" s="24" t="s">
        <v>182</v>
      </c>
      <c r="DR47" s="25" t="s">
        <v>183</v>
      </c>
      <c r="DS47" s="25" t="s">
        <v>183</v>
      </c>
      <c r="DT47" s="25" t="s">
        <v>183</v>
      </c>
      <c r="DU47" s="25" t="s">
        <v>183</v>
      </c>
      <c r="DV47" s="25" t="s">
        <v>183</v>
      </c>
      <c r="DW47" s="24" t="s">
        <v>182</v>
      </c>
      <c r="DX47" s="41"/>
      <c r="DY47" s="41"/>
      <c r="DZ47" s="42" t="s">
        <v>1926</v>
      </c>
      <c r="EA47" s="42" t="s">
        <v>1927</v>
      </c>
      <c r="EB47" s="48" t="s">
        <v>239</v>
      </c>
      <c r="EC47" s="44" t="s">
        <v>1928</v>
      </c>
      <c r="ED47" s="45" t="s">
        <v>1292</v>
      </c>
      <c r="EE47" s="46">
        <v>1</v>
      </c>
      <c r="EF47" s="50" t="s">
        <v>1293</v>
      </c>
    </row>
    <row r="48" spans="1:136" ht="15" customHeight="1" x14ac:dyDescent="0.25">
      <c r="A48" s="16" t="s">
        <v>2324</v>
      </c>
      <c r="B48" s="17" t="s">
        <v>2325</v>
      </c>
      <c r="C48" s="17" t="s">
        <v>2326</v>
      </c>
      <c r="D48" s="18">
        <v>56.2</v>
      </c>
      <c r="E48" s="18">
        <v>6.9</v>
      </c>
      <c r="F48" s="18">
        <v>0.5</v>
      </c>
      <c r="G48" s="18">
        <v>2.2000000000000002</v>
      </c>
      <c r="H48" s="18">
        <v>7.1</v>
      </c>
      <c r="I48" s="18">
        <v>17</v>
      </c>
      <c r="J48" s="18">
        <v>1.9</v>
      </c>
      <c r="K48" s="18">
        <v>30</v>
      </c>
      <c r="L48" s="18">
        <v>95</v>
      </c>
      <c r="M48" s="18">
        <v>250</v>
      </c>
      <c r="N48" s="18">
        <v>4</v>
      </c>
      <c r="O48" s="18">
        <v>1.2</v>
      </c>
      <c r="P48" s="18"/>
      <c r="Q48" s="18"/>
      <c r="R48" s="18">
        <v>1.2</v>
      </c>
      <c r="S48" s="18">
        <v>34</v>
      </c>
      <c r="T48" s="18">
        <v>0</v>
      </c>
      <c r="U48" s="18">
        <v>41</v>
      </c>
      <c r="V48" s="18">
        <v>0.2</v>
      </c>
      <c r="W48" s="18">
        <v>0.34</v>
      </c>
      <c r="X48" s="18">
        <v>2</v>
      </c>
      <c r="Y48" s="18">
        <v>0.04</v>
      </c>
      <c r="Z48" s="18">
        <v>0</v>
      </c>
      <c r="AA48" s="18">
        <v>96</v>
      </c>
      <c r="AB48" s="18">
        <v>1666</v>
      </c>
      <c r="AC48" s="18" t="s">
        <v>2327</v>
      </c>
      <c r="AD48" s="18" t="s">
        <v>221</v>
      </c>
      <c r="AE48" s="18" t="s">
        <v>2062</v>
      </c>
      <c r="AF48" s="18" t="s">
        <v>2328</v>
      </c>
      <c r="AG48" s="18" t="s">
        <v>2329</v>
      </c>
      <c r="AH48" s="18" t="s">
        <v>2330</v>
      </c>
      <c r="AI48" s="18" t="s">
        <v>226</v>
      </c>
      <c r="AJ48" s="18" t="s">
        <v>156</v>
      </c>
      <c r="AK48" s="18" t="s">
        <v>2164</v>
      </c>
      <c r="AL48" s="18" t="s">
        <v>671</v>
      </c>
      <c r="AM48" s="18" t="s">
        <v>283</v>
      </c>
      <c r="AN48" s="18" t="s">
        <v>1676</v>
      </c>
      <c r="AO48" s="18" t="s">
        <v>2331</v>
      </c>
      <c r="AP48" s="18" t="s">
        <v>2066</v>
      </c>
      <c r="AQ48" s="18" t="s">
        <v>536</v>
      </c>
      <c r="AR48" s="18">
        <v>16</v>
      </c>
      <c r="AS48" s="18">
        <v>28</v>
      </c>
      <c r="AT48" s="18">
        <v>13</v>
      </c>
      <c r="AU48" s="18">
        <v>34</v>
      </c>
      <c r="AV48" s="18">
        <v>900</v>
      </c>
      <c r="AW48" s="18">
        <v>1500</v>
      </c>
      <c r="AX48" s="18">
        <v>400</v>
      </c>
      <c r="AY48" s="18">
        <v>4300</v>
      </c>
      <c r="AZ48" s="18">
        <v>5.5</v>
      </c>
      <c r="BA48" s="18">
        <v>7</v>
      </c>
      <c r="BB48" s="18">
        <v>4.5</v>
      </c>
      <c r="BC48" s="18">
        <v>8.4</v>
      </c>
      <c r="BD48" s="18"/>
      <c r="BE48" s="18"/>
      <c r="BF48" s="18">
        <v>20</v>
      </c>
      <c r="BG48" s="18">
        <v>60</v>
      </c>
      <c r="BH48" s="18">
        <v>2800</v>
      </c>
      <c r="BI48" s="18" t="s">
        <v>163</v>
      </c>
      <c r="BJ48" s="18" t="s">
        <v>164</v>
      </c>
      <c r="BK48" s="18" t="s">
        <v>163</v>
      </c>
      <c r="BL48" s="18" t="s">
        <v>165</v>
      </c>
      <c r="BM48" s="18" t="s">
        <v>288</v>
      </c>
      <c r="BN48" s="18" t="s">
        <v>166</v>
      </c>
      <c r="BO48" s="18" t="s">
        <v>202</v>
      </c>
      <c r="BP48" s="18" t="s">
        <v>250</v>
      </c>
      <c r="BQ48" s="18" t="s">
        <v>170</v>
      </c>
      <c r="BR48" s="18" t="s">
        <v>230</v>
      </c>
      <c r="BS48" s="18"/>
      <c r="BT48" s="18"/>
      <c r="BU48" s="18" t="s">
        <v>171</v>
      </c>
      <c r="BV48" s="18" t="s">
        <v>171</v>
      </c>
      <c r="BW48" s="18" t="s">
        <v>172</v>
      </c>
      <c r="BX48" s="18" t="s">
        <v>172</v>
      </c>
      <c r="BY48" s="18"/>
      <c r="BZ48" s="18"/>
      <c r="CA48" s="18" t="s">
        <v>508</v>
      </c>
      <c r="CB48" s="18" t="s">
        <v>232</v>
      </c>
      <c r="CC48" s="18"/>
      <c r="CD48" s="18"/>
      <c r="CE48" s="18"/>
      <c r="CF48" s="18" t="s">
        <v>206</v>
      </c>
      <c r="CG48" s="18">
        <v>60</v>
      </c>
      <c r="CH48" s="18">
        <v>365</v>
      </c>
      <c r="CI48" s="32">
        <v>0.6</v>
      </c>
      <c r="CJ48" s="32">
        <v>1.8</v>
      </c>
      <c r="CK48" s="32">
        <v>0.2</v>
      </c>
      <c r="CL48" s="32">
        <v>0.5</v>
      </c>
      <c r="CM48" s="33" t="s">
        <v>2332</v>
      </c>
      <c r="CN48" s="34">
        <v>1.5</v>
      </c>
      <c r="CO48" s="34">
        <v>7</v>
      </c>
      <c r="CP48" s="35" t="s">
        <v>2333</v>
      </c>
      <c r="CQ48" s="35" t="s">
        <v>178</v>
      </c>
      <c r="CR48" s="36">
        <v>3</v>
      </c>
      <c r="CS48" s="36">
        <v>2</v>
      </c>
      <c r="CT48" s="36">
        <v>4</v>
      </c>
      <c r="CU48" s="36">
        <v>1</v>
      </c>
      <c r="CV48" s="36">
        <v>2</v>
      </c>
      <c r="CW48" s="36">
        <v>0</v>
      </c>
      <c r="CX48" s="36">
        <v>2</v>
      </c>
      <c r="CY48" s="36">
        <v>5</v>
      </c>
      <c r="CZ48" s="36">
        <v>3</v>
      </c>
      <c r="DA48" s="37">
        <v>120</v>
      </c>
      <c r="DB48" s="37">
        <v>60</v>
      </c>
      <c r="DC48" s="37">
        <v>150</v>
      </c>
      <c r="DD48" s="37">
        <v>15</v>
      </c>
      <c r="DE48" s="37">
        <v>20</v>
      </c>
      <c r="DF48" s="37">
        <v>0</v>
      </c>
      <c r="DG48" s="37">
        <v>20</v>
      </c>
      <c r="DH48" s="37">
        <v>300</v>
      </c>
      <c r="DI48" s="37">
        <v>60</v>
      </c>
      <c r="DJ48" s="38" t="s">
        <v>2334</v>
      </c>
      <c r="DK48" s="39" t="s">
        <v>1979</v>
      </c>
      <c r="DL48" s="40">
        <v>150</v>
      </c>
      <c r="DM48" s="39" t="s">
        <v>2335</v>
      </c>
      <c r="DN48" s="41"/>
      <c r="DO48" s="41"/>
      <c r="DP48" s="41"/>
      <c r="DQ48" s="41"/>
      <c r="DR48" s="41"/>
      <c r="DS48" s="41"/>
      <c r="DT48" s="41"/>
      <c r="DU48" s="41"/>
      <c r="DV48" s="24" t="s">
        <v>182</v>
      </c>
      <c r="DW48" s="25" t="s">
        <v>183</v>
      </c>
      <c r="DX48" s="25" t="s">
        <v>183</v>
      </c>
      <c r="DY48" s="24" t="s">
        <v>182</v>
      </c>
      <c r="DZ48" s="42" t="s">
        <v>2336</v>
      </c>
      <c r="EA48" s="42" t="s">
        <v>2337</v>
      </c>
      <c r="EB48" s="48" t="s">
        <v>239</v>
      </c>
      <c r="EC48" s="44" t="s">
        <v>2202</v>
      </c>
      <c r="ED48" s="45" t="s">
        <v>1500</v>
      </c>
      <c r="EE48" s="46">
        <v>3</v>
      </c>
      <c r="EF48" s="57" t="s">
        <v>1501</v>
      </c>
    </row>
    <row r="49" spans="1:136" ht="15" customHeight="1" x14ac:dyDescent="0.25">
      <c r="A49" s="16" t="s">
        <v>918</v>
      </c>
      <c r="B49" s="17" t="s">
        <v>409</v>
      </c>
      <c r="C49" s="17" t="s">
        <v>919</v>
      </c>
      <c r="D49" s="18">
        <v>55</v>
      </c>
      <c r="E49" s="18">
        <v>1.2</v>
      </c>
      <c r="F49" s="18">
        <v>0.7</v>
      </c>
      <c r="G49" s="18">
        <v>9.1</v>
      </c>
      <c r="H49" s="18">
        <v>3</v>
      </c>
      <c r="I49" s="18">
        <v>28</v>
      </c>
      <c r="J49" s="18">
        <v>0.26</v>
      </c>
      <c r="K49" s="18">
        <v>15</v>
      </c>
      <c r="L49" s="18">
        <v>31</v>
      </c>
      <c r="M49" s="18">
        <v>279</v>
      </c>
      <c r="N49" s="18">
        <v>2</v>
      </c>
      <c r="O49" s="18">
        <v>0.1</v>
      </c>
      <c r="P49" s="18">
        <v>0.13200000000000001</v>
      </c>
      <c r="Q49" s="18">
        <v>0.13</v>
      </c>
      <c r="R49" s="18">
        <v>1.1000000000000001</v>
      </c>
      <c r="S49" s="18">
        <v>9</v>
      </c>
      <c r="T49" s="18">
        <v>1.08</v>
      </c>
      <c r="U49" s="18">
        <v>85</v>
      </c>
      <c r="V49" s="18">
        <v>0</v>
      </c>
      <c r="W49" s="18">
        <v>0.05</v>
      </c>
      <c r="X49" s="18">
        <v>0</v>
      </c>
      <c r="Y49" s="18">
        <v>0.36</v>
      </c>
      <c r="Z49" s="18">
        <v>0</v>
      </c>
      <c r="AA49" s="18">
        <v>32</v>
      </c>
      <c r="AB49" s="18">
        <v>889</v>
      </c>
      <c r="AC49" s="18" t="s">
        <v>907</v>
      </c>
      <c r="AD49" s="18"/>
      <c r="AE49" s="18" t="s">
        <v>908</v>
      </c>
      <c r="AF49" s="18"/>
      <c r="AG49" s="18" t="s">
        <v>909</v>
      </c>
      <c r="AH49" s="18" t="s">
        <v>910</v>
      </c>
      <c r="AI49" s="18" t="s">
        <v>226</v>
      </c>
      <c r="AJ49" s="18" t="s">
        <v>848</v>
      </c>
      <c r="AK49" s="18" t="s">
        <v>505</v>
      </c>
      <c r="AL49" s="18" t="s">
        <v>314</v>
      </c>
      <c r="AM49" s="18"/>
      <c r="AN49" s="18" t="s">
        <v>417</v>
      </c>
      <c r="AO49" s="18" t="s">
        <v>419</v>
      </c>
      <c r="AP49" s="18" t="s">
        <v>419</v>
      </c>
      <c r="AQ49" s="18" t="s">
        <v>162</v>
      </c>
      <c r="AR49" s="18">
        <v>21</v>
      </c>
      <c r="AS49" s="18">
        <v>30</v>
      </c>
      <c r="AT49" s="18">
        <v>8</v>
      </c>
      <c r="AU49" s="18">
        <v>35</v>
      </c>
      <c r="AV49" s="18">
        <v>900</v>
      </c>
      <c r="AW49" s="18">
        <v>1300</v>
      </c>
      <c r="AX49" s="18">
        <v>700</v>
      </c>
      <c r="AY49" s="18">
        <v>1500</v>
      </c>
      <c r="AZ49" s="18">
        <v>6</v>
      </c>
      <c r="BA49" s="18">
        <v>7</v>
      </c>
      <c r="BB49" s="18">
        <v>5.5</v>
      </c>
      <c r="BC49" s="18">
        <v>7.5</v>
      </c>
      <c r="BD49" s="18">
        <v>25</v>
      </c>
      <c r="BE49" s="18">
        <v>25</v>
      </c>
      <c r="BF49" s="18">
        <v>45</v>
      </c>
      <c r="BG49" s="18">
        <v>45</v>
      </c>
      <c r="BH49" s="18">
        <v>1500</v>
      </c>
      <c r="BI49" s="18" t="s">
        <v>163</v>
      </c>
      <c r="BJ49" s="18" t="s">
        <v>163</v>
      </c>
      <c r="BK49" s="18" t="s">
        <v>163</v>
      </c>
      <c r="BL49" s="18" t="s">
        <v>164</v>
      </c>
      <c r="BM49" s="18" t="s">
        <v>288</v>
      </c>
      <c r="BN49" s="18" t="s">
        <v>166</v>
      </c>
      <c r="BO49" s="18" t="s">
        <v>486</v>
      </c>
      <c r="BP49" s="18" t="s">
        <v>250</v>
      </c>
      <c r="BQ49" s="18" t="s">
        <v>169</v>
      </c>
      <c r="BR49" s="18" t="s">
        <v>170</v>
      </c>
      <c r="BS49" s="18"/>
      <c r="BT49" s="18"/>
      <c r="BU49" s="18" t="s">
        <v>171</v>
      </c>
      <c r="BV49" s="18" t="s">
        <v>171</v>
      </c>
      <c r="BW49" s="18" t="s">
        <v>172</v>
      </c>
      <c r="BX49" s="18" t="s">
        <v>172</v>
      </c>
      <c r="BY49" s="18">
        <v>-9</v>
      </c>
      <c r="BZ49" s="18">
        <v>-1</v>
      </c>
      <c r="CA49" s="18" t="s">
        <v>173</v>
      </c>
      <c r="CB49" s="18" t="s">
        <v>420</v>
      </c>
      <c r="CC49" s="18"/>
      <c r="CD49" s="18"/>
      <c r="CE49" s="18"/>
      <c r="CF49" s="18"/>
      <c r="CG49" s="18">
        <v>210</v>
      </c>
      <c r="CH49" s="18">
        <v>330</v>
      </c>
      <c r="CI49" s="32">
        <v>0.3</v>
      </c>
      <c r="CJ49" s="32">
        <v>0.5</v>
      </c>
      <c r="CK49" s="32">
        <v>3</v>
      </c>
      <c r="CL49" s="32">
        <v>6</v>
      </c>
      <c r="CM49" s="33" t="s">
        <v>911</v>
      </c>
      <c r="CN49" s="34">
        <v>8</v>
      </c>
      <c r="CO49" s="34">
        <v>35</v>
      </c>
      <c r="CP49" s="35" t="s">
        <v>920</v>
      </c>
      <c r="CQ49" s="35" t="s">
        <v>209</v>
      </c>
      <c r="CR49" s="36">
        <v>0</v>
      </c>
      <c r="CS49" s="36">
        <v>0</v>
      </c>
      <c r="CT49" s="36">
        <v>6</v>
      </c>
      <c r="CU49" s="36">
        <v>4</v>
      </c>
      <c r="CV49" s="36">
        <v>6</v>
      </c>
      <c r="CW49" s="36">
        <v>30</v>
      </c>
      <c r="CX49" s="36">
        <v>5</v>
      </c>
      <c r="CY49" s="36">
        <v>35</v>
      </c>
      <c r="CZ49" s="36">
        <v>10</v>
      </c>
      <c r="DA49" s="37">
        <v>0</v>
      </c>
      <c r="DB49" s="37">
        <v>0</v>
      </c>
      <c r="DC49" s="37">
        <v>50</v>
      </c>
      <c r="DD49" s="37">
        <v>25</v>
      </c>
      <c r="DE49" s="37">
        <v>40</v>
      </c>
      <c r="DF49" s="37">
        <v>200</v>
      </c>
      <c r="DG49" s="37">
        <v>35</v>
      </c>
      <c r="DH49" s="37">
        <v>500</v>
      </c>
      <c r="DI49" s="37">
        <v>100</v>
      </c>
      <c r="DJ49" s="38" t="s">
        <v>921</v>
      </c>
      <c r="DK49" s="39" t="s">
        <v>409</v>
      </c>
      <c r="DL49" s="40">
        <v>150</v>
      </c>
      <c r="DM49" s="39" t="s">
        <v>922</v>
      </c>
      <c r="DN49" s="41"/>
      <c r="DO49" s="41"/>
      <c r="DP49" s="41"/>
      <c r="DQ49" s="24" t="s">
        <v>182</v>
      </c>
      <c r="DR49" s="25" t="s">
        <v>183</v>
      </c>
      <c r="DS49" s="25" t="s">
        <v>183</v>
      </c>
      <c r="DT49" s="25" t="s">
        <v>183</v>
      </c>
      <c r="DU49" s="24" t="s">
        <v>182</v>
      </c>
      <c r="DV49" s="41"/>
      <c r="DW49" s="41"/>
      <c r="DX49" s="41"/>
      <c r="DY49" s="41"/>
      <c r="DZ49" s="42" t="s">
        <v>923</v>
      </c>
      <c r="EA49" s="42" t="s">
        <v>924</v>
      </c>
      <c r="EB49" s="26" t="s">
        <v>186</v>
      </c>
      <c r="EC49" s="44" t="s">
        <v>925</v>
      </c>
      <c r="ED49" s="45" t="s">
        <v>327</v>
      </c>
      <c r="EE49" s="46">
        <v>1</v>
      </c>
      <c r="EF49" s="50" t="s">
        <v>327</v>
      </c>
    </row>
    <row r="50" spans="1:136" ht="15" customHeight="1" x14ac:dyDescent="0.25">
      <c r="A50" s="16" t="s">
        <v>2544</v>
      </c>
      <c r="B50" s="17" t="s">
        <v>2532</v>
      </c>
      <c r="C50" s="17" t="s">
        <v>2545</v>
      </c>
      <c r="D50" s="18">
        <v>22.5</v>
      </c>
      <c r="E50" s="18">
        <v>1.5</v>
      </c>
      <c r="F50" s="18">
        <v>0.2</v>
      </c>
      <c r="G50" s="18">
        <v>1.7</v>
      </c>
      <c r="H50" s="18">
        <v>2.2000000000000002</v>
      </c>
      <c r="I50" s="18">
        <v>26</v>
      </c>
      <c r="J50" s="18">
        <v>0.3</v>
      </c>
      <c r="K50" s="18">
        <v>10</v>
      </c>
      <c r="L50" s="18">
        <v>14</v>
      </c>
      <c r="M50" s="18">
        <v>130</v>
      </c>
      <c r="N50" s="18">
        <v>12</v>
      </c>
      <c r="O50" s="18">
        <v>0.3</v>
      </c>
      <c r="P50" s="18"/>
      <c r="Q50" s="18"/>
      <c r="R50" s="18">
        <v>1.1000000000000001</v>
      </c>
      <c r="S50" s="18">
        <v>17</v>
      </c>
      <c r="T50" s="18">
        <v>0.27</v>
      </c>
      <c r="U50" s="18">
        <v>8</v>
      </c>
      <c r="V50" s="18">
        <v>0.11</v>
      </c>
      <c r="W50" s="18">
        <v>0.04</v>
      </c>
      <c r="X50" s="18">
        <v>0.7</v>
      </c>
      <c r="Y50" s="18">
        <v>0.02</v>
      </c>
      <c r="Z50" s="18">
        <v>0</v>
      </c>
      <c r="AA50" s="18">
        <v>7</v>
      </c>
      <c r="AB50" s="18">
        <v>2454</v>
      </c>
      <c r="AC50" s="18" t="s">
        <v>2546</v>
      </c>
      <c r="AD50" s="18"/>
      <c r="AE50" s="18" t="s">
        <v>1524</v>
      </c>
      <c r="AF50" s="18"/>
      <c r="AG50" s="18" t="s">
        <v>2547</v>
      </c>
      <c r="AH50" s="18" t="s">
        <v>2548</v>
      </c>
      <c r="AI50" s="18" t="s">
        <v>155</v>
      </c>
      <c r="AJ50" s="18" t="s">
        <v>156</v>
      </c>
      <c r="AK50" s="18" t="s">
        <v>157</v>
      </c>
      <c r="AL50" s="18" t="s">
        <v>314</v>
      </c>
      <c r="AM50" s="18"/>
      <c r="AN50" s="18" t="s">
        <v>160</v>
      </c>
      <c r="AO50" s="18" t="s">
        <v>228</v>
      </c>
      <c r="AP50" s="18" t="s">
        <v>161</v>
      </c>
      <c r="AQ50" s="18" t="s">
        <v>362</v>
      </c>
      <c r="AR50" s="18">
        <v>15</v>
      </c>
      <c r="AS50" s="18">
        <v>24</v>
      </c>
      <c r="AT50" s="18">
        <v>5</v>
      </c>
      <c r="AU50" s="18">
        <v>30</v>
      </c>
      <c r="AV50" s="18">
        <v>800</v>
      </c>
      <c r="AW50" s="18">
        <v>1300</v>
      </c>
      <c r="AX50" s="18">
        <v>400</v>
      </c>
      <c r="AY50" s="18">
        <v>2000</v>
      </c>
      <c r="AZ50" s="18">
        <v>6</v>
      </c>
      <c r="BA50" s="18">
        <v>7</v>
      </c>
      <c r="BB50" s="18">
        <v>5.3</v>
      </c>
      <c r="BC50" s="18">
        <v>7.8</v>
      </c>
      <c r="BD50" s="18">
        <v>40</v>
      </c>
      <c r="BE50" s="18"/>
      <c r="BF50" s="18">
        <v>60</v>
      </c>
      <c r="BG50" s="18">
        <v>65</v>
      </c>
      <c r="BH50" s="18">
        <v>2000</v>
      </c>
      <c r="BI50" s="18" t="s">
        <v>164</v>
      </c>
      <c r="BJ50" s="18" t="s">
        <v>164</v>
      </c>
      <c r="BK50" s="18" t="s">
        <v>163</v>
      </c>
      <c r="BL50" s="18" t="s">
        <v>165</v>
      </c>
      <c r="BM50" s="18" t="s">
        <v>166</v>
      </c>
      <c r="BN50" s="18" t="s">
        <v>166</v>
      </c>
      <c r="BO50" s="18" t="s">
        <v>167</v>
      </c>
      <c r="BP50" s="18" t="s">
        <v>203</v>
      </c>
      <c r="BQ50" s="18" t="s">
        <v>169</v>
      </c>
      <c r="BR50" s="18" t="s">
        <v>170</v>
      </c>
      <c r="BS50" s="18"/>
      <c r="BT50" s="18"/>
      <c r="BU50" s="18" t="s">
        <v>171</v>
      </c>
      <c r="BV50" s="18" t="s">
        <v>171</v>
      </c>
      <c r="BW50" s="18" t="s">
        <v>172</v>
      </c>
      <c r="BX50" s="18" t="s">
        <v>172</v>
      </c>
      <c r="BY50" s="18">
        <v>-15</v>
      </c>
      <c r="BZ50" s="18">
        <v>-1</v>
      </c>
      <c r="CA50" s="18" t="s">
        <v>173</v>
      </c>
      <c r="CB50" s="18" t="s">
        <v>232</v>
      </c>
      <c r="CC50" s="18"/>
      <c r="CD50" s="18"/>
      <c r="CE50" s="18"/>
      <c r="CF50" s="18" t="s">
        <v>175</v>
      </c>
      <c r="CG50" s="18">
        <v>60</v>
      </c>
      <c r="CH50" s="18">
        <v>330</v>
      </c>
      <c r="CI50" s="19">
        <v>0.9</v>
      </c>
      <c r="CJ50" s="19">
        <v>1.8</v>
      </c>
      <c r="CK50" s="19">
        <v>0.9</v>
      </c>
      <c r="CL50" s="19">
        <v>1.5</v>
      </c>
      <c r="CM50" s="17" t="s">
        <v>1766</v>
      </c>
      <c r="CN50" s="20">
        <v>5</v>
      </c>
      <c r="CO50" s="20">
        <v>25</v>
      </c>
      <c r="CP50" s="17" t="s">
        <v>2549</v>
      </c>
      <c r="CQ50" s="17" t="s">
        <v>209</v>
      </c>
      <c r="CR50" s="21">
        <v>6</v>
      </c>
      <c r="CS50" s="21">
        <v>5</v>
      </c>
      <c r="CT50" s="21">
        <v>6</v>
      </c>
      <c r="CU50" s="21">
        <v>3</v>
      </c>
      <c r="CV50" s="21">
        <v>3</v>
      </c>
      <c r="CW50" s="21">
        <v>3</v>
      </c>
      <c r="CX50" s="21">
        <v>3</v>
      </c>
      <c r="CY50" s="21">
        <v>15</v>
      </c>
      <c r="CZ50" s="21">
        <v>5</v>
      </c>
      <c r="DA50" s="21">
        <v>150</v>
      </c>
      <c r="DB50" s="21">
        <v>120</v>
      </c>
      <c r="DC50" s="21">
        <v>180</v>
      </c>
      <c r="DD50" s="21">
        <v>25</v>
      </c>
      <c r="DE50" s="21">
        <v>25</v>
      </c>
      <c r="DF50" s="21">
        <v>40</v>
      </c>
      <c r="DG50" s="21">
        <v>30</v>
      </c>
      <c r="DH50" s="21">
        <v>350</v>
      </c>
      <c r="DI50" s="21">
        <v>80</v>
      </c>
      <c r="DJ50" s="17" t="s">
        <v>269</v>
      </c>
      <c r="DK50" s="17" t="s">
        <v>409</v>
      </c>
      <c r="DL50" s="22">
        <v>150</v>
      </c>
      <c r="DM50" s="17" t="s">
        <v>2550</v>
      </c>
      <c r="DN50" s="23"/>
      <c r="DO50" s="23"/>
      <c r="DP50" s="23"/>
      <c r="DQ50" s="23"/>
      <c r="DR50" s="23"/>
      <c r="DS50" s="23"/>
      <c r="DT50" s="23"/>
      <c r="DU50" s="24" t="s">
        <v>182</v>
      </c>
      <c r="DV50" s="25" t="s">
        <v>183</v>
      </c>
      <c r="DW50" s="25" t="s">
        <v>183</v>
      </c>
      <c r="DX50" s="25" t="s">
        <v>183</v>
      </c>
      <c r="DY50" s="24" t="s">
        <v>182</v>
      </c>
      <c r="DZ50" s="17" t="s">
        <v>2551</v>
      </c>
      <c r="EA50" s="17" t="s">
        <v>2552</v>
      </c>
      <c r="EB50" s="52" t="s">
        <v>301</v>
      </c>
      <c r="EC50" s="17" t="s">
        <v>2553</v>
      </c>
      <c r="ED50" s="27" t="s">
        <v>496</v>
      </c>
      <c r="EE50" s="22">
        <v>3</v>
      </c>
      <c r="EF50" s="54" t="s">
        <v>217</v>
      </c>
    </row>
    <row r="51" spans="1:136" ht="15" customHeight="1" x14ac:dyDescent="0.25">
      <c r="A51" s="16" t="s">
        <v>2031</v>
      </c>
      <c r="B51" s="17" t="s">
        <v>1969</v>
      </c>
      <c r="C51" s="17" t="s">
        <v>2032</v>
      </c>
      <c r="D51" s="18">
        <v>642.70000000000005</v>
      </c>
      <c r="E51" s="18">
        <v>14.8</v>
      </c>
      <c r="F51" s="18">
        <v>61.4</v>
      </c>
      <c r="G51" s="18">
        <v>5.0999999999999996</v>
      </c>
      <c r="H51" s="18">
        <v>10.4</v>
      </c>
      <c r="I51" s="18">
        <v>86</v>
      </c>
      <c r="J51" s="18">
        <v>3.2</v>
      </c>
      <c r="K51" s="18">
        <v>160</v>
      </c>
      <c r="L51" s="18">
        <v>310</v>
      </c>
      <c r="M51" s="18">
        <v>680</v>
      </c>
      <c r="N51" s="18">
        <v>3</v>
      </c>
      <c r="O51" s="18">
        <v>2.2000000000000002</v>
      </c>
      <c r="P51" s="18">
        <v>1.5</v>
      </c>
      <c r="Q51" s="18">
        <v>3.5</v>
      </c>
      <c r="R51" s="18">
        <v>1</v>
      </c>
      <c r="S51" s="18">
        <v>3</v>
      </c>
      <c r="T51" s="18">
        <v>16</v>
      </c>
      <c r="U51" s="18">
        <v>0</v>
      </c>
      <c r="V51" s="18">
        <v>0.39</v>
      </c>
      <c r="W51" s="18">
        <v>0.17</v>
      </c>
      <c r="X51" s="18">
        <v>2.2000000000000002</v>
      </c>
      <c r="Y51" s="18">
        <v>0.56000000000000005</v>
      </c>
      <c r="Z51" s="18">
        <v>0</v>
      </c>
      <c r="AA51" s="18">
        <v>113</v>
      </c>
      <c r="AB51" s="18">
        <v>2246</v>
      </c>
      <c r="AC51" s="18" t="s">
        <v>2033</v>
      </c>
      <c r="AD51" s="18" t="s">
        <v>221</v>
      </c>
      <c r="AE51" s="18" t="s">
        <v>2034</v>
      </c>
      <c r="AF51" s="18"/>
      <c r="AG51" s="18" t="s">
        <v>2035</v>
      </c>
      <c r="AH51" s="18" t="s">
        <v>2036</v>
      </c>
      <c r="AI51" s="18" t="s">
        <v>155</v>
      </c>
      <c r="AJ51" s="18" t="s">
        <v>621</v>
      </c>
      <c r="AK51" s="18" t="s">
        <v>157</v>
      </c>
      <c r="AL51" s="18" t="s">
        <v>314</v>
      </c>
      <c r="AM51" s="18"/>
      <c r="AN51" s="18" t="s">
        <v>622</v>
      </c>
      <c r="AO51" s="18" t="s">
        <v>2022</v>
      </c>
      <c r="AP51" s="18" t="s">
        <v>340</v>
      </c>
      <c r="AQ51" s="18" t="s">
        <v>162</v>
      </c>
      <c r="AR51" s="18">
        <v>10</v>
      </c>
      <c r="AS51" s="18">
        <v>24</v>
      </c>
      <c r="AT51" s="18">
        <v>5</v>
      </c>
      <c r="AU51" s="18">
        <v>35</v>
      </c>
      <c r="AV51" s="18">
        <v>900</v>
      </c>
      <c r="AW51" s="18">
        <v>1100</v>
      </c>
      <c r="AX51" s="18">
        <v>600</v>
      </c>
      <c r="AY51" s="18">
        <v>1400</v>
      </c>
      <c r="AZ51" s="18">
        <v>6</v>
      </c>
      <c r="BA51" s="18">
        <v>6.5</v>
      </c>
      <c r="BB51" s="18">
        <v>5.5</v>
      </c>
      <c r="BC51" s="18">
        <v>7.5</v>
      </c>
      <c r="BD51" s="18">
        <v>40</v>
      </c>
      <c r="BE51" s="18">
        <v>40</v>
      </c>
      <c r="BF51" s="18">
        <v>60</v>
      </c>
      <c r="BG51" s="18">
        <v>60</v>
      </c>
      <c r="BH51" s="18">
        <v>1600</v>
      </c>
      <c r="BI51" s="18" t="s">
        <v>163</v>
      </c>
      <c r="BJ51" s="18" t="s">
        <v>163</v>
      </c>
      <c r="BK51" s="18" t="s">
        <v>163</v>
      </c>
      <c r="BL51" s="18" t="s">
        <v>164</v>
      </c>
      <c r="BM51" s="18" t="s">
        <v>288</v>
      </c>
      <c r="BN51" s="18" t="s">
        <v>166</v>
      </c>
      <c r="BO51" s="18" t="s">
        <v>202</v>
      </c>
      <c r="BP51" s="18" t="s">
        <v>203</v>
      </c>
      <c r="BQ51" s="18" t="s">
        <v>170</v>
      </c>
      <c r="BR51" s="18" t="s">
        <v>170</v>
      </c>
      <c r="BS51" s="18"/>
      <c r="BT51" s="18"/>
      <c r="BU51" s="18" t="s">
        <v>171</v>
      </c>
      <c r="BV51" s="18" t="s">
        <v>171</v>
      </c>
      <c r="BW51" s="18" t="s">
        <v>172</v>
      </c>
      <c r="BX51" s="18" t="s">
        <v>172</v>
      </c>
      <c r="BY51" s="18">
        <v>-10</v>
      </c>
      <c r="BZ51" s="18">
        <v>-3</v>
      </c>
      <c r="CA51" s="18" t="s">
        <v>173</v>
      </c>
      <c r="CB51" s="18" t="s">
        <v>2037</v>
      </c>
      <c r="CC51" s="18"/>
      <c r="CD51" s="18"/>
      <c r="CE51" s="18"/>
      <c r="CF51" s="18"/>
      <c r="CG51" s="18">
        <v>150</v>
      </c>
      <c r="CH51" s="18">
        <v>210</v>
      </c>
      <c r="CI51" s="32">
        <v>3</v>
      </c>
      <c r="CJ51" s="32">
        <v>8</v>
      </c>
      <c r="CK51" s="32">
        <v>2</v>
      </c>
      <c r="CL51" s="32">
        <v>5</v>
      </c>
      <c r="CM51" s="33" t="s">
        <v>806</v>
      </c>
      <c r="CN51" s="34">
        <v>0.5</v>
      </c>
      <c r="CO51" s="34">
        <v>4</v>
      </c>
      <c r="CP51" s="35" t="s">
        <v>2038</v>
      </c>
      <c r="CQ51" s="35" t="s">
        <v>209</v>
      </c>
      <c r="CR51" s="36">
        <v>0</v>
      </c>
      <c r="CS51" s="36">
        <v>0</v>
      </c>
      <c r="CT51" s="36">
        <v>5</v>
      </c>
      <c r="CU51" s="36">
        <v>3</v>
      </c>
      <c r="CV51" s="36">
        <v>5</v>
      </c>
      <c r="CW51" s="36">
        <v>10</v>
      </c>
      <c r="CX51" s="36">
        <v>3</v>
      </c>
      <c r="CY51" s="36">
        <v>5</v>
      </c>
      <c r="CZ51" s="36">
        <v>3</v>
      </c>
      <c r="DA51" s="37">
        <v>0</v>
      </c>
      <c r="DB51" s="37">
        <v>0</v>
      </c>
      <c r="DC51" s="37">
        <v>40</v>
      </c>
      <c r="DD51" s="37">
        <v>20</v>
      </c>
      <c r="DE51" s="37">
        <v>35</v>
      </c>
      <c r="DF51" s="37">
        <v>80</v>
      </c>
      <c r="DG51" s="37">
        <v>20</v>
      </c>
      <c r="DH51" s="37">
        <v>200</v>
      </c>
      <c r="DI51" s="37">
        <v>60</v>
      </c>
      <c r="DJ51" s="38" t="s">
        <v>2039</v>
      </c>
      <c r="DK51" s="39" t="s">
        <v>1979</v>
      </c>
      <c r="DL51" s="40">
        <v>30</v>
      </c>
      <c r="DM51" s="39" t="s">
        <v>2040</v>
      </c>
      <c r="DN51" s="41"/>
      <c r="DO51" s="24" t="s">
        <v>182</v>
      </c>
      <c r="DP51" s="25" t="s">
        <v>183</v>
      </c>
      <c r="DQ51" s="25" t="s">
        <v>183</v>
      </c>
      <c r="DR51" s="24" t="s">
        <v>182</v>
      </c>
      <c r="DS51" s="41"/>
      <c r="DT51" s="41"/>
      <c r="DU51" s="41"/>
      <c r="DV51" s="41"/>
      <c r="DW51" s="41"/>
      <c r="DX51" s="41"/>
      <c r="DY51" s="41"/>
      <c r="DZ51" s="42" t="s">
        <v>2041</v>
      </c>
      <c r="EA51" s="42" t="s">
        <v>2042</v>
      </c>
      <c r="EB51" s="48" t="s">
        <v>239</v>
      </c>
      <c r="EC51" s="44" t="s">
        <v>2000</v>
      </c>
      <c r="ED51" s="45" t="s">
        <v>241</v>
      </c>
      <c r="EE51" s="46">
        <v>2</v>
      </c>
      <c r="EF51" s="50" t="s">
        <v>1166</v>
      </c>
    </row>
    <row r="52" spans="1:136" ht="15" customHeight="1" x14ac:dyDescent="0.25">
      <c r="A52" s="16" t="s">
        <v>2421</v>
      </c>
      <c r="B52" s="29" t="s">
        <v>2325</v>
      </c>
      <c r="C52" s="29" t="s">
        <v>2422</v>
      </c>
      <c r="D52" s="30">
        <v>74.3</v>
      </c>
      <c r="E52" s="30">
        <v>6.5</v>
      </c>
      <c r="F52" s="30">
        <v>0.5</v>
      </c>
      <c r="G52" s="30">
        <v>7.7</v>
      </c>
      <c r="H52" s="30">
        <v>6.6</v>
      </c>
      <c r="I52" s="30">
        <v>30</v>
      </c>
      <c r="J52" s="30">
        <v>1.83</v>
      </c>
      <c r="K52" s="30">
        <v>36</v>
      </c>
      <c r="L52" s="30">
        <v>125</v>
      </c>
      <c r="M52" s="30">
        <v>296</v>
      </c>
      <c r="N52" s="30">
        <v>1</v>
      </c>
      <c r="O52" s="30">
        <v>1.02</v>
      </c>
      <c r="P52" s="30">
        <v>0.13500000000000001</v>
      </c>
      <c r="Q52" s="30">
        <v>0.49</v>
      </c>
      <c r="R52" s="30">
        <v>1</v>
      </c>
      <c r="S52" s="30">
        <v>44</v>
      </c>
      <c r="T52" s="30">
        <v>0.28999999999999998</v>
      </c>
      <c r="U52" s="30">
        <v>24</v>
      </c>
      <c r="V52" s="30">
        <v>0.33</v>
      </c>
      <c r="W52" s="30">
        <v>0.13</v>
      </c>
      <c r="X52" s="30">
        <v>1.95</v>
      </c>
      <c r="Y52" s="30">
        <v>0.3</v>
      </c>
      <c r="Z52" s="30">
        <v>0</v>
      </c>
      <c r="AA52" s="30">
        <v>80</v>
      </c>
      <c r="AB52" s="31">
        <v>1721</v>
      </c>
      <c r="AC52" s="31" t="s">
        <v>2161</v>
      </c>
      <c r="AD52" s="31" t="s">
        <v>221</v>
      </c>
      <c r="AE52" s="31" t="s">
        <v>2062</v>
      </c>
      <c r="AF52" s="31"/>
      <c r="AG52" s="31" t="s">
        <v>2162</v>
      </c>
      <c r="AH52" s="31" t="s">
        <v>2163</v>
      </c>
      <c r="AI52" s="31" t="s">
        <v>155</v>
      </c>
      <c r="AJ52" s="31" t="s">
        <v>156</v>
      </c>
      <c r="AK52" s="31" t="s">
        <v>2164</v>
      </c>
      <c r="AL52" s="31" t="s">
        <v>282</v>
      </c>
      <c r="AM52" s="31" t="s">
        <v>159</v>
      </c>
      <c r="AN52" s="31" t="s">
        <v>160</v>
      </c>
      <c r="AO52" s="31" t="s">
        <v>2165</v>
      </c>
      <c r="AP52" s="31" t="s">
        <v>2066</v>
      </c>
      <c r="AQ52" s="31" t="s">
        <v>162</v>
      </c>
      <c r="AR52" s="31">
        <v>10</v>
      </c>
      <c r="AS52" s="31">
        <v>24</v>
      </c>
      <c r="AT52" s="31">
        <v>4</v>
      </c>
      <c r="AU52" s="31">
        <v>30</v>
      </c>
      <c r="AV52" s="31">
        <v>800</v>
      </c>
      <c r="AW52" s="31">
        <v>1200</v>
      </c>
      <c r="AX52" s="31">
        <v>350</v>
      </c>
      <c r="AY52" s="31">
        <v>2500</v>
      </c>
      <c r="AZ52" s="31">
        <v>5.5</v>
      </c>
      <c r="BA52" s="31">
        <v>7</v>
      </c>
      <c r="BB52" s="31">
        <v>4.5</v>
      </c>
      <c r="BC52" s="31">
        <v>8.3000000000000007</v>
      </c>
      <c r="BD52" s="31"/>
      <c r="BE52" s="31"/>
      <c r="BF52" s="31">
        <v>60</v>
      </c>
      <c r="BG52" s="31">
        <v>70</v>
      </c>
      <c r="BH52" s="31">
        <v>2700</v>
      </c>
      <c r="BI52" s="31" t="s">
        <v>163</v>
      </c>
      <c r="BJ52" s="31" t="s">
        <v>163</v>
      </c>
      <c r="BK52" s="31" t="s">
        <v>163</v>
      </c>
      <c r="BL52" s="31" t="s">
        <v>165</v>
      </c>
      <c r="BM52" s="31" t="s">
        <v>166</v>
      </c>
      <c r="BN52" s="31" t="s">
        <v>201</v>
      </c>
      <c r="BO52" s="31" t="s">
        <v>203</v>
      </c>
      <c r="BP52" s="31" t="s">
        <v>203</v>
      </c>
      <c r="BQ52" s="31" t="s">
        <v>170</v>
      </c>
      <c r="BR52" s="31" t="s">
        <v>230</v>
      </c>
      <c r="BS52" s="31"/>
      <c r="BT52" s="31"/>
      <c r="BU52" s="31" t="s">
        <v>171</v>
      </c>
      <c r="BV52" s="31" t="s">
        <v>171</v>
      </c>
      <c r="BW52" s="31" t="s">
        <v>172</v>
      </c>
      <c r="BX52" s="31" t="s">
        <v>172</v>
      </c>
      <c r="BY52" s="31">
        <v>-2</v>
      </c>
      <c r="BZ52" s="31">
        <v>0</v>
      </c>
      <c r="CA52" s="31" t="s">
        <v>508</v>
      </c>
      <c r="CB52" s="31" t="s">
        <v>232</v>
      </c>
      <c r="CC52" s="31"/>
      <c r="CD52" s="31"/>
      <c r="CE52" s="31"/>
      <c r="CF52" s="31" t="s">
        <v>206</v>
      </c>
      <c r="CG52" s="31">
        <v>60</v>
      </c>
      <c r="CH52" s="31">
        <v>140</v>
      </c>
      <c r="CI52" s="32">
        <v>0.3</v>
      </c>
      <c r="CJ52" s="32">
        <v>2</v>
      </c>
      <c r="CK52" s="32">
        <v>0.2</v>
      </c>
      <c r="CL52" s="32">
        <v>0.5</v>
      </c>
      <c r="CM52" s="33" t="s">
        <v>2423</v>
      </c>
      <c r="CN52" s="34">
        <v>3</v>
      </c>
      <c r="CO52" s="34">
        <v>10</v>
      </c>
      <c r="CP52" s="35" t="s">
        <v>2424</v>
      </c>
      <c r="CQ52" s="35" t="s">
        <v>178</v>
      </c>
      <c r="CR52" s="36">
        <v>3</v>
      </c>
      <c r="CS52" s="36">
        <v>2</v>
      </c>
      <c r="CT52" s="36">
        <v>3</v>
      </c>
      <c r="CU52" s="36">
        <v>1</v>
      </c>
      <c r="CV52" s="36">
        <v>2</v>
      </c>
      <c r="CW52" s="36">
        <v>0</v>
      </c>
      <c r="CX52" s="36">
        <v>2</v>
      </c>
      <c r="CY52" s="36">
        <v>4</v>
      </c>
      <c r="CZ52" s="36">
        <v>2</v>
      </c>
      <c r="DA52" s="37">
        <v>110</v>
      </c>
      <c r="DB52" s="37">
        <v>55</v>
      </c>
      <c r="DC52" s="37">
        <v>120</v>
      </c>
      <c r="DD52" s="37">
        <v>15</v>
      </c>
      <c r="DE52" s="37">
        <v>15</v>
      </c>
      <c r="DF52" s="37">
        <v>0</v>
      </c>
      <c r="DG52" s="37">
        <v>20</v>
      </c>
      <c r="DH52" s="37">
        <v>220</v>
      </c>
      <c r="DI52" s="37">
        <v>50</v>
      </c>
      <c r="DJ52" s="38" t="s">
        <v>2425</v>
      </c>
      <c r="DK52" s="39" t="s">
        <v>1979</v>
      </c>
      <c r="DL52" s="40">
        <v>150</v>
      </c>
      <c r="DM52" s="39" t="s">
        <v>2426</v>
      </c>
      <c r="DN52" s="41"/>
      <c r="DO52" s="41"/>
      <c r="DP52" s="41"/>
      <c r="DQ52" s="41"/>
      <c r="DR52" s="41"/>
      <c r="DS52" s="41"/>
      <c r="DT52" s="41"/>
      <c r="DU52" s="24" t="s">
        <v>182</v>
      </c>
      <c r="DV52" s="25" t="s">
        <v>183</v>
      </c>
      <c r="DW52" s="25" t="s">
        <v>183</v>
      </c>
      <c r="DX52" s="25" t="s">
        <v>183</v>
      </c>
      <c r="DY52" s="24" t="s">
        <v>182</v>
      </c>
      <c r="DZ52" s="42" t="s">
        <v>2427</v>
      </c>
      <c r="EA52" s="42" t="s">
        <v>2428</v>
      </c>
      <c r="EB52" s="52" t="s">
        <v>301</v>
      </c>
      <c r="EC52" s="44" t="s">
        <v>2429</v>
      </c>
      <c r="ED52" s="45" t="s">
        <v>2430</v>
      </c>
      <c r="EE52" s="46">
        <v>4</v>
      </c>
      <c r="EF52" s="56" t="s">
        <v>531</v>
      </c>
    </row>
    <row r="53" spans="1:136" ht="15" customHeight="1" x14ac:dyDescent="0.25">
      <c r="A53" s="16" t="s">
        <v>532</v>
      </c>
      <c r="B53" s="17" t="s">
        <v>409</v>
      </c>
      <c r="C53" s="17" t="s">
        <v>533</v>
      </c>
      <c r="D53" s="18">
        <v>45.9</v>
      </c>
      <c r="E53" s="18">
        <v>1.2</v>
      </c>
      <c r="F53" s="18">
        <v>0.3</v>
      </c>
      <c r="G53" s="18">
        <v>7.4</v>
      </c>
      <c r="H53" s="18">
        <v>4.5</v>
      </c>
      <c r="I53" s="18">
        <v>28</v>
      </c>
      <c r="J53" s="18">
        <v>0.44</v>
      </c>
      <c r="K53" s="18">
        <v>27</v>
      </c>
      <c r="L53" s="18">
        <v>32</v>
      </c>
      <c r="M53" s="18">
        <v>142</v>
      </c>
      <c r="N53" s="18">
        <v>1</v>
      </c>
      <c r="O53" s="18">
        <v>0.35</v>
      </c>
      <c r="P53" s="18">
        <v>0.11600000000000001</v>
      </c>
      <c r="Q53" s="18">
        <v>0.70499999999999996</v>
      </c>
      <c r="R53" s="18">
        <v>1</v>
      </c>
      <c r="S53" s="18">
        <v>14</v>
      </c>
      <c r="T53" s="18">
        <v>0.96</v>
      </c>
      <c r="U53" s="18">
        <v>24</v>
      </c>
      <c r="V53" s="18">
        <v>0.01</v>
      </c>
      <c r="W53" s="18">
        <v>0.03</v>
      </c>
      <c r="X53" s="18">
        <v>0.3</v>
      </c>
      <c r="Y53" s="18">
        <v>0.03</v>
      </c>
      <c r="Z53" s="18">
        <v>0</v>
      </c>
      <c r="AA53" s="18">
        <v>40</v>
      </c>
      <c r="AB53" s="18">
        <v>1881</v>
      </c>
      <c r="AC53" s="18" t="s">
        <v>534</v>
      </c>
      <c r="AD53" s="18"/>
      <c r="AE53" s="18" t="s">
        <v>413</v>
      </c>
      <c r="AF53" s="18"/>
      <c r="AG53" s="18" t="s">
        <v>535</v>
      </c>
      <c r="AH53" s="18" t="s">
        <v>535</v>
      </c>
      <c r="AI53" s="18" t="s">
        <v>226</v>
      </c>
      <c r="AJ53" s="18" t="s">
        <v>523</v>
      </c>
      <c r="AK53" s="18" t="s">
        <v>157</v>
      </c>
      <c r="AL53" s="18" t="s">
        <v>314</v>
      </c>
      <c r="AM53" s="18"/>
      <c r="AN53" s="18" t="s">
        <v>483</v>
      </c>
      <c r="AO53" s="18" t="s">
        <v>484</v>
      </c>
      <c r="AP53" s="18" t="s">
        <v>419</v>
      </c>
      <c r="AQ53" s="18" t="s">
        <v>536</v>
      </c>
      <c r="AR53" s="18">
        <v>14</v>
      </c>
      <c r="AS53" s="18">
        <v>20</v>
      </c>
      <c r="AT53" s="18">
        <v>3</v>
      </c>
      <c r="AU53" s="18">
        <v>28</v>
      </c>
      <c r="AV53" s="18">
        <v>1400</v>
      </c>
      <c r="AW53" s="18">
        <v>1800</v>
      </c>
      <c r="AX53" s="18">
        <v>300</v>
      </c>
      <c r="AY53" s="18">
        <v>2800</v>
      </c>
      <c r="AZ53" s="18">
        <v>5.5</v>
      </c>
      <c r="BA53" s="18">
        <v>6.5</v>
      </c>
      <c r="BB53" s="18">
        <v>4.5</v>
      </c>
      <c r="BC53" s="18">
        <v>8</v>
      </c>
      <c r="BD53" s="18"/>
      <c r="BE53" s="18"/>
      <c r="BF53" s="18"/>
      <c r="BG53" s="18"/>
      <c r="BH53" s="18"/>
      <c r="BI53" s="18" t="s">
        <v>163</v>
      </c>
      <c r="BJ53" s="18" t="s">
        <v>164</v>
      </c>
      <c r="BK53" s="18" t="s">
        <v>163</v>
      </c>
      <c r="BL53" s="18" t="s">
        <v>165</v>
      </c>
      <c r="BM53" s="18" t="s">
        <v>166</v>
      </c>
      <c r="BN53" s="18" t="s">
        <v>201</v>
      </c>
      <c r="BO53" s="18" t="s">
        <v>203</v>
      </c>
      <c r="BP53" s="18" t="s">
        <v>203</v>
      </c>
      <c r="BQ53" s="18" t="s">
        <v>169</v>
      </c>
      <c r="BR53" s="18" t="s">
        <v>170</v>
      </c>
      <c r="BS53" s="18"/>
      <c r="BT53" s="18"/>
      <c r="BU53" s="18" t="s">
        <v>171</v>
      </c>
      <c r="BV53" s="18" t="s">
        <v>171</v>
      </c>
      <c r="BW53" s="18" t="s">
        <v>172</v>
      </c>
      <c r="BX53" s="18" t="s">
        <v>172</v>
      </c>
      <c r="BY53" s="18">
        <v>-20</v>
      </c>
      <c r="BZ53" s="18">
        <v>0</v>
      </c>
      <c r="CA53" s="18" t="s">
        <v>204</v>
      </c>
      <c r="CB53" s="18" t="s">
        <v>524</v>
      </c>
      <c r="CC53" s="18"/>
      <c r="CD53" s="18"/>
      <c r="CE53" s="18"/>
      <c r="CF53" s="18" t="s">
        <v>175</v>
      </c>
      <c r="CG53" s="18">
        <v>120</v>
      </c>
      <c r="CH53" s="18">
        <v>365</v>
      </c>
      <c r="CI53" s="32">
        <v>1</v>
      </c>
      <c r="CJ53" s="32">
        <v>3</v>
      </c>
      <c r="CK53" s="32">
        <v>1.5</v>
      </c>
      <c r="CL53" s="32">
        <v>4</v>
      </c>
      <c r="CM53" s="33" t="s">
        <v>537</v>
      </c>
      <c r="CN53" s="34">
        <v>3</v>
      </c>
      <c r="CO53" s="34">
        <v>20</v>
      </c>
      <c r="CP53" s="35" t="s">
        <v>538</v>
      </c>
      <c r="CQ53" s="35" t="s">
        <v>539</v>
      </c>
      <c r="CR53" s="36">
        <v>0</v>
      </c>
      <c r="CS53" s="36">
        <v>5</v>
      </c>
      <c r="CT53" s="36">
        <v>8</v>
      </c>
      <c r="CU53" s="36">
        <v>4</v>
      </c>
      <c r="CV53" s="36">
        <v>5</v>
      </c>
      <c r="CW53" s="36">
        <v>15</v>
      </c>
      <c r="CX53" s="36">
        <v>4</v>
      </c>
      <c r="CY53" s="36">
        <v>35</v>
      </c>
      <c r="CZ53" s="36">
        <v>8</v>
      </c>
      <c r="DA53" s="37">
        <v>0</v>
      </c>
      <c r="DB53" s="37">
        <v>80</v>
      </c>
      <c r="DC53" s="37">
        <v>80</v>
      </c>
      <c r="DD53" s="37">
        <v>25</v>
      </c>
      <c r="DE53" s="37">
        <v>35</v>
      </c>
      <c r="DF53" s="37">
        <v>120</v>
      </c>
      <c r="DG53" s="37">
        <v>30</v>
      </c>
      <c r="DH53" s="37">
        <v>550</v>
      </c>
      <c r="DI53" s="37">
        <v>80</v>
      </c>
      <c r="DJ53" s="38" t="s">
        <v>540</v>
      </c>
      <c r="DK53" s="39" t="s">
        <v>409</v>
      </c>
      <c r="DL53" s="40">
        <v>150</v>
      </c>
      <c r="DM53" s="39" t="s">
        <v>541</v>
      </c>
      <c r="DN53" s="25" t="s">
        <v>183</v>
      </c>
      <c r="DO53" s="25" t="s">
        <v>183</v>
      </c>
      <c r="DP53" s="25" t="s">
        <v>183</v>
      </c>
      <c r="DQ53" s="24" t="s">
        <v>182</v>
      </c>
      <c r="DR53" s="41"/>
      <c r="DS53" s="41"/>
      <c r="DT53" s="41"/>
      <c r="DU53" s="41"/>
      <c r="DV53" s="41"/>
      <c r="DW53" s="41"/>
      <c r="DX53" s="41"/>
      <c r="DY53" s="24" t="s">
        <v>182</v>
      </c>
      <c r="DZ53" s="42" t="s">
        <v>542</v>
      </c>
      <c r="EA53" s="42" t="s">
        <v>543</v>
      </c>
      <c r="EB53" s="52" t="s">
        <v>301</v>
      </c>
      <c r="EC53" s="44" t="s">
        <v>495</v>
      </c>
      <c r="ED53" s="45" t="s">
        <v>496</v>
      </c>
      <c r="EE53" s="46">
        <v>4</v>
      </c>
      <c r="EF53" s="56" t="s">
        <v>497</v>
      </c>
    </row>
    <row r="54" spans="1:136" ht="15" customHeight="1" x14ac:dyDescent="0.25">
      <c r="A54" s="16" t="s">
        <v>2089</v>
      </c>
      <c r="B54" s="17" t="s">
        <v>1969</v>
      </c>
      <c r="C54" s="17" t="s">
        <v>2090</v>
      </c>
      <c r="D54" s="18">
        <v>699.1</v>
      </c>
      <c r="E54" s="18">
        <v>13</v>
      </c>
      <c r="F54" s="18">
        <v>70</v>
      </c>
      <c r="G54" s="18">
        <v>4.5</v>
      </c>
      <c r="H54" s="18">
        <v>5.0999999999999996</v>
      </c>
      <c r="I54" s="18">
        <v>11</v>
      </c>
      <c r="J54" s="18">
        <v>4.0999999999999996</v>
      </c>
      <c r="K54" s="18">
        <v>230</v>
      </c>
      <c r="L54" s="18">
        <v>560</v>
      </c>
      <c r="M54" s="18">
        <v>600</v>
      </c>
      <c r="N54" s="18">
        <v>3</v>
      </c>
      <c r="O54" s="18">
        <v>5.3</v>
      </c>
      <c r="P54" s="18">
        <v>1.2</v>
      </c>
      <c r="Q54" s="18">
        <v>6.9</v>
      </c>
      <c r="R54" s="18">
        <v>1</v>
      </c>
      <c r="S54" s="18">
        <v>2</v>
      </c>
      <c r="T54" s="18">
        <v>12.94</v>
      </c>
      <c r="U54" s="18">
        <v>0</v>
      </c>
      <c r="V54" s="18">
        <v>0.56999999999999995</v>
      </c>
      <c r="W54" s="18">
        <v>0.19</v>
      </c>
      <c r="X54" s="18">
        <v>4.3</v>
      </c>
      <c r="Y54" s="18">
        <v>0.02</v>
      </c>
      <c r="Z54" s="18">
        <v>0</v>
      </c>
      <c r="AA54" s="18">
        <v>34</v>
      </c>
      <c r="AB54" s="18">
        <v>8647</v>
      </c>
      <c r="AC54" s="18" t="s">
        <v>2091</v>
      </c>
      <c r="AD54" s="18" t="s">
        <v>221</v>
      </c>
      <c r="AE54" s="18" t="s">
        <v>2092</v>
      </c>
      <c r="AF54" s="18"/>
      <c r="AG54" s="18" t="s">
        <v>2093</v>
      </c>
      <c r="AH54" s="18" t="s">
        <v>2094</v>
      </c>
      <c r="AI54" s="18" t="s">
        <v>226</v>
      </c>
      <c r="AJ54" s="18" t="s">
        <v>337</v>
      </c>
      <c r="AK54" s="18" t="s">
        <v>157</v>
      </c>
      <c r="AL54" s="18" t="s">
        <v>314</v>
      </c>
      <c r="AM54" s="18"/>
      <c r="AN54" s="18" t="s">
        <v>338</v>
      </c>
      <c r="AO54" s="18" t="s">
        <v>2095</v>
      </c>
      <c r="AP54" s="18" t="s">
        <v>340</v>
      </c>
      <c r="AQ54" s="18"/>
      <c r="AR54" s="18">
        <v>18</v>
      </c>
      <c r="AS54" s="18">
        <v>32</v>
      </c>
      <c r="AT54" s="18">
        <v>8</v>
      </c>
      <c r="AU54" s="18">
        <v>38</v>
      </c>
      <c r="AV54" s="18">
        <v>500</v>
      </c>
      <c r="AW54" s="18">
        <v>700</v>
      </c>
      <c r="AX54" s="18">
        <v>400</v>
      </c>
      <c r="AY54" s="18">
        <v>800</v>
      </c>
      <c r="AZ54" s="18">
        <v>4.5</v>
      </c>
      <c r="BA54" s="18">
        <v>5.5</v>
      </c>
      <c r="BB54" s="18">
        <v>4</v>
      </c>
      <c r="BC54" s="18">
        <v>6.5</v>
      </c>
      <c r="BD54" s="18">
        <v>33</v>
      </c>
      <c r="BE54" s="18">
        <v>33</v>
      </c>
      <c r="BF54" s="18">
        <v>44</v>
      </c>
      <c r="BG54" s="18">
        <v>44</v>
      </c>
      <c r="BH54" s="18">
        <v>2500</v>
      </c>
      <c r="BI54" s="18" t="s">
        <v>163</v>
      </c>
      <c r="BJ54" s="18" t="s">
        <v>163</v>
      </c>
      <c r="BK54" s="18" t="s">
        <v>163</v>
      </c>
      <c r="BL54" s="18" t="s">
        <v>164</v>
      </c>
      <c r="BM54" s="18" t="s">
        <v>166</v>
      </c>
      <c r="BN54" s="18" t="s">
        <v>201</v>
      </c>
      <c r="BO54" s="18" t="s">
        <v>250</v>
      </c>
      <c r="BP54" s="18" t="s">
        <v>250</v>
      </c>
      <c r="BQ54" s="18" t="s">
        <v>170</v>
      </c>
      <c r="BR54" s="18" t="s">
        <v>230</v>
      </c>
      <c r="BS54" s="18"/>
      <c r="BT54" s="18"/>
      <c r="BU54" s="18" t="s">
        <v>171</v>
      </c>
      <c r="BV54" s="18" t="s">
        <v>171</v>
      </c>
      <c r="BW54" s="18" t="s">
        <v>172</v>
      </c>
      <c r="BX54" s="18" t="s">
        <v>290</v>
      </c>
      <c r="BY54" s="18">
        <v>-2</v>
      </c>
      <c r="BZ54" s="18">
        <v>0</v>
      </c>
      <c r="CA54" s="18" t="s">
        <v>173</v>
      </c>
      <c r="CB54" s="18" t="s">
        <v>1252</v>
      </c>
      <c r="CC54" s="18" t="s">
        <v>2096</v>
      </c>
      <c r="CD54" s="18"/>
      <c r="CE54" s="18"/>
      <c r="CF54" s="18"/>
      <c r="CG54" s="18">
        <v>180</v>
      </c>
      <c r="CH54" s="18">
        <v>240</v>
      </c>
      <c r="CI54" s="32">
        <v>15</v>
      </c>
      <c r="CJ54" s="32">
        <v>25</v>
      </c>
      <c r="CK54" s="32">
        <v>8</v>
      </c>
      <c r="CL54" s="32">
        <v>15</v>
      </c>
      <c r="CM54" s="33" t="s">
        <v>2097</v>
      </c>
      <c r="CN54" s="34">
        <v>0.1</v>
      </c>
      <c r="CO54" s="34">
        <v>1</v>
      </c>
      <c r="CP54" s="35" t="s">
        <v>2098</v>
      </c>
      <c r="CQ54" s="35" t="s">
        <v>2099</v>
      </c>
      <c r="CR54" s="36">
        <v>0</v>
      </c>
      <c r="CS54" s="36">
        <v>0</v>
      </c>
      <c r="CT54" s="36">
        <v>3</v>
      </c>
      <c r="CU54" s="36">
        <v>2</v>
      </c>
      <c r="CV54" s="36">
        <v>3</v>
      </c>
      <c r="CW54" s="36">
        <v>5</v>
      </c>
      <c r="CX54" s="36">
        <v>2</v>
      </c>
      <c r="CY54" s="36">
        <v>15</v>
      </c>
      <c r="CZ54" s="36">
        <v>20</v>
      </c>
      <c r="DA54" s="37">
        <v>0</v>
      </c>
      <c r="DB54" s="37">
        <v>0</v>
      </c>
      <c r="DC54" s="37">
        <v>20</v>
      </c>
      <c r="DD54" s="37">
        <v>10</v>
      </c>
      <c r="DE54" s="37">
        <v>15</v>
      </c>
      <c r="DF54" s="37">
        <v>40</v>
      </c>
      <c r="DG54" s="37">
        <v>15</v>
      </c>
      <c r="DH54" s="37">
        <v>400</v>
      </c>
      <c r="DI54" s="37">
        <v>500</v>
      </c>
      <c r="DJ54" s="38" t="s">
        <v>2100</v>
      </c>
      <c r="DK54" s="39" t="s">
        <v>1979</v>
      </c>
      <c r="DL54" s="40">
        <v>30</v>
      </c>
      <c r="DM54" s="39" t="s">
        <v>2101</v>
      </c>
      <c r="DN54" s="41"/>
      <c r="DO54" s="24" t="s">
        <v>182</v>
      </c>
      <c r="DP54" s="25" t="s">
        <v>183</v>
      </c>
      <c r="DQ54" s="25" t="s">
        <v>183</v>
      </c>
      <c r="DR54" s="25" t="s">
        <v>183</v>
      </c>
      <c r="DS54" s="24" t="s">
        <v>182</v>
      </c>
      <c r="DT54" s="41"/>
      <c r="DU54" s="41"/>
      <c r="DV54" s="41"/>
      <c r="DW54" s="41"/>
      <c r="DX54" s="41"/>
      <c r="DY54" s="41"/>
      <c r="DZ54" s="42" t="s">
        <v>2102</v>
      </c>
      <c r="EA54" s="42" t="s">
        <v>2103</v>
      </c>
      <c r="EB54" s="26" t="s">
        <v>186</v>
      </c>
      <c r="EC54" s="44" t="s">
        <v>2104</v>
      </c>
      <c r="ED54" s="45" t="s">
        <v>352</v>
      </c>
      <c r="EE54" s="46">
        <v>5</v>
      </c>
      <c r="EF54" s="53" t="s">
        <v>275</v>
      </c>
    </row>
    <row r="55" spans="1:136" ht="15" customHeight="1" x14ac:dyDescent="0.25">
      <c r="A55" s="16" t="s">
        <v>1350</v>
      </c>
      <c r="B55" s="29" t="s">
        <v>409</v>
      </c>
      <c r="C55" s="29" t="s">
        <v>1351</v>
      </c>
      <c r="D55" s="30">
        <v>31.5</v>
      </c>
      <c r="E55" s="30">
        <v>0.7</v>
      </c>
      <c r="F55" s="30">
        <v>0.2</v>
      </c>
      <c r="G55" s="30">
        <v>5.6</v>
      </c>
      <c r="H55" s="30">
        <v>2.1</v>
      </c>
      <c r="I55" s="30">
        <v>19</v>
      </c>
      <c r="J55" s="30">
        <v>0.44</v>
      </c>
      <c r="K55" s="30">
        <v>13</v>
      </c>
      <c r="L55" s="30">
        <v>24</v>
      </c>
      <c r="M55" s="30">
        <v>182</v>
      </c>
      <c r="N55" s="30">
        <v>0</v>
      </c>
      <c r="O55" s="30">
        <v>0.16</v>
      </c>
      <c r="P55" s="30">
        <v>4.8000000000000001E-2</v>
      </c>
      <c r="Q55" s="30">
        <v>0.36299999999999999</v>
      </c>
      <c r="R55" s="30">
        <v>1</v>
      </c>
      <c r="S55" s="30">
        <v>0</v>
      </c>
      <c r="T55" s="30">
        <v>0.32</v>
      </c>
      <c r="U55" s="30">
        <v>76</v>
      </c>
      <c r="V55" s="30">
        <v>0.02</v>
      </c>
      <c r="W55" s="30">
        <v>0.05</v>
      </c>
      <c r="X55" s="30">
        <v>0.1</v>
      </c>
      <c r="Y55" s="30">
        <v>0.02</v>
      </c>
      <c r="Z55" s="30">
        <v>0</v>
      </c>
      <c r="AA55" s="30">
        <v>65</v>
      </c>
      <c r="AB55" s="31">
        <v>1112</v>
      </c>
      <c r="AC55" s="31" t="s">
        <v>1352</v>
      </c>
      <c r="AD55" s="31" t="s">
        <v>1353</v>
      </c>
      <c r="AE55" s="31" t="s">
        <v>413</v>
      </c>
      <c r="AF55" s="31" t="s">
        <v>1354</v>
      </c>
      <c r="AG55" s="31" t="s">
        <v>1355</v>
      </c>
      <c r="AH55" s="31" t="s">
        <v>1356</v>
      </c>
      <c r="AI55" s="31" t="s">
        <v>155</v>
      </c>
      <c r="AJ55" s="31" t="s">
        <v>156</v>
      </c>
      <c r="AK55" s="31" t="s">
        <v>1357</v>
      </c>
      <c r="AL55" s="31" t="s">
        <v>314</v>
      </c>
      <c r="AM55" s="31"/>
      <c r="AN55" s="31" t="s">
        <v>160</v>
      </c>
      <c r="AO55" s="31" t="s">
        <v>419</v>
      </c>
      <c r="AP55" s="31" t="s">
        <v>419</v>
      </c>
      <c r="AQ55" s="31" t="s">
        <v>162</v>
      </c>
      <c r="AR55" s="31">
        <v>11</v>
      </c>
      <c r="AS55" s="31">
        <v>24</v>
      </c>
      <c r="AT55" s="31">
        <v>6</v>
      </c>
      <c r="AU55" s="31">
        <v>28</v>
      </c>
      <c r="AV55" s="31">
        <v>600</v>
      </c>
      <c r="AW55" s="31">
        <v>900</v>
      </c>
      <c r="AX55" s="31">
        <v>300</v>
      </c>
      <c r="AY55" s="31">
        <v>1700</v>
      </c>
      <c r="AZ55" s="31">
        <v>6</v>
      </c>
      <c r="BA55" s="31">
        <v>6.8</v>
      </c>
      <c r="BB55" s="31">
        <v>4.5</v>
      </c>
      <c r="BC55" s="31">
        <v>8.1999999999999993</v>
      </c>
      <c r="BD55" s="31"/>
      <c r="BE55" s="31"/>
      <c r="BF55" s="31"/>
      <c r="BG55" s="31"/>
      <c r="BH55" s="31">
        <v>2000</v>
      </c>
      <c r="BI55" s="31" t="s">
        <v>163</v>
      </c>
      <c r="BJ55" s="31" t="s">
        <v>164</v>
      </c>
      <c r="BK55" s="31" t="s">
        <v>163</v>
      </c>
      <c r="BL55" s="31" t="s">
        <v>164</v>
      </c>
      <c r="BM55" s="31" t="s">
        <v>201</v>
      </c>
      <c r="BN55" s="31" t="s">
        <v>201</v>
      </c>
      <c r="BO55" s="31" t="s">
        <v>167</v>
      </c>
      <c r="BP55" s="31" t="s">
        <v>203</v>
      </c>
      <c r="BQ55" s="31" t="s">
        <v>170</v>
      </c>
      <c r="BR55" s="31" t="s">
        <v>170</v>
      </c>
      <c r="BS55" s="31"/>
      <c r="BT55" s="31"/>
      <c r="BU55" s="31" t="s">
        <v>171</v>
      </c>
      <c r="BV55" s="31" t="s">
        <v>171</v>
      </c>
      <c r="BW55" s="31" t="s">
        <v>172</v>
      </c>
      <c r="BX55" s="31" t="s">
        <v>172</v>
      </c>
      <c r="BY55" s="31"/>
      <c r="BZ55" s="31"/>
      <c r="CA55" s="31" t="s">
        <v>173</v>
      </c>
      <c r="CB55" s="31" t="s">
        <v>1358</v>
      </c>
      <c r="CC55" s="31"/>
      <c r="CD55" s="31"/>
      <c r="CE55" s="31"/>
      <c r="CF55" s="31" t="s">
        <v>206</v>
      </c>
      <c r="CG55" s="31">
        <v>180</v>
      </c>
      <c r="CH55" s="31">
        <v>270</v>
      </c>
      <c r="CI55" s="19">
        <v>0.15</v>
      </c>
      <c r="CJ55" s="19">
        <v>0.3</v>
      </c>
      <c r="CK55" s="19">
        <v>0.3</v>
      </c>
      <c r="CL55" s="19">
        <v>0.6</v>
      </c>
      <c r="CM55" s="17" t="s">
        <v>1359</v>
      </c>
      <c r="CN55" s="20">
        <v>5</v>
      </c>
      <c r="CO55" s="20">
        <v>80</v>
      </c>
      <c r="CP55" s="17" t="s">
        <v>1360</v>
      </c>
      <c r="CQ55" s="17" t="s">
        <v>365</v>
      </c>
      <c r="CR55" s="21">
        <v>10</v>
      </c>
      <c r="CS55" s="21">
        <v>15</v>
      </c>
      <c r="CT55" s="21">
        <v>10</v>
      </c>
      <c r="CU55" s="21">
        <v>5</v>
      </c>
      <c r="CV55" s="21">
        <v>8</v>
      </c>
      <c r="CW55" s="21">
        <v>8</v>
      </c>
      <c r="CX55" s="21">
        <v>6</v>
      </c>
      <c r="CY55" s="21">
        <v>50</v>
      </c>
      <c r="CZ55" s="21">
        <v>15</v>
      </c>
      <c r="DA55" s="21">
        <v>180</v>
      </c>
      <c r="DB55" s="21">
        <v>300</v>
      </c>
      <c r="DC55" s="21">
        <v>200</v>
      </c>
      <c r="DD55" s="21">
        <v>40</v>
      </c>
      <c r="DE55" s="21">
        <v>60</v>
      </c>
      <c r="DF55" s="21">
        <v>80</v>
      </c>
      <c r="DG55" s="21">
        <v>50</v>
      </c>
      <c r="DH55" s="21">
        <v>800</v>
      </c>
      <c r="DI55" s="21">
        <v>200</v>
      </c>
      <c r="DJ55" s="17" t="s">
        <v>1361</v>
      </c>
      <c r="DK55" s="17" t="s">
        <v>409</v>
      </c>
      <c r="DL55" s="22">
        <v>150</v>
      </c>
      <c r="DM55" s="17" t="s">
        <v>1362</v>
      </c>
      <c r="DN55" s="24" t="s">
        <v>182</v>
      </c>
      <c r="DO55" s="23"/>
      <c r="DP55" s="23"/>
      <c r="DQ55" s="23"/>
      <c r="DR55" s="23"/>
      <c r="DS55" s="23"/>
      <c r="DT55" s="23"/>
      <c r="DU55" s="23"/>
      <c r="DV55" s="24" t="s">
        <v>182</v>
      </c>
      <c r="DW55" s="25" t="s">
        <v>183</v>
      </c>
      <c r="DX55" s="25" t="s">
        <v>183</v>
      </c>
      <c r="DY55" s="25" t="s">
        <v>183</v>
      </c>
      <c r="DZ55" s="17" t="s">
        <v>1363</v>
      </c>
      <c r="EA55" s="17" t="s">
        <v>1364</v>
      </c>
      <c r="EB55" s="52" t="s">
        <v>301</v>
      </c>
      <c r="EC55" s="17" t="s">
        <v>495</v>
      </c>
      <c r="ED55" s="27" t="s">
        <v>1067</v>
      </c>
      <c r="EE55" s="22">
        <v>4</v>
      </c>
      <c r="EF55" s="55" t="s">
        <v>741</v>
      </c>
    </row>
    <row r="56" spans="1:136" ht="15" customHeight="1" x14ac:dyDescent="0.25">
      <c r="A56" s="16" t="s">
        <v>1832</v>
      </c>
      <c r="B56" s="17" t="s">
        <v>1700</v>
      </c>
      <c r="C56" s="17" t="s">
        <v>1833</v>
      </c>
      <c r="D56" s="18">
        <v>64</v>
      </c>
      <c r="E56" s="18">
        <v>9.4</v>
      </c>
      <c r="F56" s="18">
        <v>8.2799999999999994</v>
      </c>
      <c r="G56" s="18">
        <v>2</v>
      </c>
      <c r="H56" s="18">
        <v>1.4</v>
      </c>
      <c r="I56" s="18">
        <v>185</v>
      </c>
      <c r="J56" s="18">
        <v>4</v>
      </c>
      <c r="K56" s="18">
        <v>42</v>
      </c>
      <c r="L56" s="18">
        <v>112</v>
      </c>
      <c r="M56" s="18">
        <v>337</v>
      </c>
      <c r="N56" s="18">
        <v>9</v>
      </c>
      <c r="O56" s="18">
        <v>0.6</v>
      </c>
      <c r="P56" s="18">
        <v>0.105</v>
      </c>
      <c r="Q56" s="18">
        <v>1.0629999999999999</v>
      </c>
      <c r="R56" s="18">
        <v>0.9</v>
      </c>
      <c r="S56" s="18">
        <v>7564</v>
      </c>
      <c r="T56" s="18">
        <v>0</v>
      </c>
      <c r="U56" s="18">
        <v>51.7</v>
      </c>
      <c r="V56" s="18">
        <v>0.25700000000000001</v>
      </c>
      <c r="W56" s="18">
        <v>0.66</v>
      </c>
      <c r="X56" s="18">
        <v>2.2200000000000002</v>
      </c>
      <c r="Y56" s="18">
        <v>1.2</v>
      </c>
      <c r="Z56" s="18">
        <v>0</v>
      </c>
      <c r="AA56" s="18">
        <v>40</v>
      </c>
      <c r="AB56" s="18">
        <v>2348</v>
      </c>
      <c r="AC56" s="18" t="s">
        <v>1834</v>
      </c>
      <c r="AD56" s="18" t="s">
        <v>893</v>
      </c>
      <c r="AE56" s="18" t="s">
        <v>1835</v>
      </c>
      <c r="AF56" s="18" t="s">
        <v>1836</v>
      </c>
      <c r="AG56" s="18" t="s">
        <v>1837</v>
      </c>
      <c r="AH56" s="18" t="s">
        <v>1838</v>
      </c>
      <c r="AI56" s="18" t="s">
        <v>155</v>
      </c>
      <c r="AJ56" s="18" t="s">
        <v>621</v>
      </c>
      <c r="AK56" s="18" t="s">
        <v>157</v>
      </c>
      <c r="AL56" s="18" t="s">
        <v>314</v>
      </c>
      <c r="AM56" s="18">
        <v>0</v>
      </c>
      <c r="AN56" s="18" t="s">
        <v>622</v>
      </c>
      <c r="AO56" s="18" t="s">
        <v>1839</v>
      </c>
      <c r="AP56" s="18" t="s">
        <v>286</v>
      </c>
      <c r="AQ56" s="18" t="s">
        <v>362</v>
      </c>
      <c r="AR56" s="18">
        <v>20</v>
      </c>
      <c r="AS56" s="18">
        <v>35</v>
      </c>
      <c r="AT56" s="18">
        <v>7</v>
      </c>
      <c r="AU56" s="18">
        <v>48</v>
      </c>
      <c r="AV56" s="18">
        <v>700</v>
      </c>
      <c r="AW56" s="18">
        <v>2200</v>
      </c>
      <c r="AX56" s="18">
        <v>400</v>
      </c>
      <c r="AY56" s="18">
        <v>2600</v>
      </c>
      <c r="AZ56" s="18">
        <v>5.5</v>
      </c>
      <c r="BA56" s="18">
        <v>7</v>
      </c>
      <c r="BB56" s="18">
        <v>5</v>
      </c>
      <c r="BC56" s="18">
        <v>8.5</v>
      </c>
      <c r="BD56" s="18">
        <v>10</v>
      </c>
      <c r="BE56" s="18">
        <v>10</v>
      </c>
      <c r="BF56" s="18">
        <v>20</v>
      </c>
      <c r="BG56" s="18">
        <v>30</v>
      </c>
      <c r="BH56" s="18">
        <v>1000</v>
      </c>
      <c r="BI56" s="18" t="s">
        <v>163</v>
      </c>
      <c r="BJ56" s="18" t="s">
        <v>164</v>
      </c>
      <c r="BK56" s="18" t="s">
        <v>163</v>
      </c>
      <c r="BL56" s="18" t="s">
        <v>165</v>
      </c>
      <c r="BM56" s="18" t="s">
        <v>288</v>
      </c>
      <c r="BN56" s="18" t="s">
        <v>166</v>
      </c>
      <c r="BO56" s="51" t="s">
        <v>250</v>
      </c>
      <c r="BP56" s="51" t="s">
        <v>203</v>
      </c>
      <c r="BQ56" s="51" t="s">
        <v>170</v>
      </c>
      <c r="BR56" s="51" t="s">
        <v>230</v>
      </c>
      <c r="BS56" s="51">
        <v>0</v>
      </c>
      <c r="BT56" s="51">
        <v>0</v>
      </c>
      <c r="BU56" s="51" t="s">
        <v>171</v>
      </c>
      <c r="BV56" s="51" t="s">
        <v>171</v>
      </c>
      <c r="BW56" s="51" t="s">
        <v>172</v>
      </c>
      <c r="BX56" s="51" t="s">
        <v>290</v>
      </c>
      <c r="BY56" s="51">
        <v>0</v>
      </c>
      <c r="BZ56" s="51">
        <v>0</v>
      </c>
      <c r="CA56" s="51" t="s">
        <v>173</v>
      </c>
      <c r="CB56" s="51" t="s">
        <v>1840</v>
      </c>
      <c r="CC56" s="51">
        <v>0</v>
      </c>
      <c r="CD56" s="51">
        <v>0</v>
      </c>
      <c r="CE56" s="51">
        <v>0</v>
      </c>
      <c r="CF56" s="51" t="s">
        <v>175</v>
      </c>
      <c r="CG56" s="51">
        <v>210</v>
      </c>
      <c r="CH56" s="51">
        <v>330</v>
      </c>
      <c r="CI56" s="19">
        <v>5</v>
      </c>
      <c r="CJ56" s="19">
        <v>12</v>
      </c>
      <c r="CK56" s="19">
        <v>3</v>
      </c>
      <c r="CL56" s="19">
        <v>8</v>
      </c>
      <c r="CM56" s="17" t="s">
        <v>1841</v>
      </c>
      <c r="CN56" s="20">
        <v>2</v>
      </c>
      <c r="CO56" s="20">
        <v>15</v>
      </c>
      <c r="CP56" s="17" t="s">
        <v>1842</v>
      </c>
      <c r="CQ56" s="17" t="s">
        <v>1843</v>
      </c>
      <c r="CR56" s="21">
        <v>0</v>
      </c>
      <c r="CS56" s="21">
        <v>0</v>
      </c>
      <c r="CT56" s="21">
        <v>5</v>
      </c>
      <c r="CU56" s="21">
        <v>3</v>
      </c>
      <c r="CV56" s="21">
        <v>3</v>
      </c>
      <c r="CW56" s="21">
        <v>8</v>
      </c>
      <c r="CX56" s="21">
        <v>4</v>
      </c>
      <c r="CY56" s="21">
        <v>20</v>
      </c>
      <c r="CZ56" s="21">
        <v>8</v>
      </c>
      <c r="DA56" s="21">
        <v>0</v>
      </c>
      <c r="DB56" s="21">
        <v>0</v>
      </c>
      <c r="DC56" s="21">
        <v>40</v>
      </c>
      <c r="DD56" s="21">
        <v>20</v>
      </c>
      <c r="DE56" s="21">
        <v>20</v>
      </c>
      <c r="DF56" s="21">
        <v>80</v>
      </c>
      <c r="DG56" s="21">
        <v>30</v>
      </c>
      <c r="DH56" s="21">
        <v>400</v>
      </c>
      <c r="DI56" s="21">
        <v>100</v>
      </c>
      <c r="DJ56" s="17" t="s">
        <v>1844</v>
      </c>
      <c r="DK56" s="17" t="s">
        <v>180</v>
      </c>
      <c r="DL56" s="22">
        <v>75</v>
      </c>
      <c r="DM56" s="17" t="s">
        <v>1845</v>
      </c>
      <c r="DN56" s="23"/>
      <c r="DO56" s="23"/>
      <c r="DP56" s="23"/>
      <c r="DQ56" s="23"/>
      <c r="DR56" s="23"/>
      <c r="DS56" s="23"/>
      <c r="DT56" s="24" t="s">
        <v>182</v>
      </c>
      <c r="DU56" s="25" t="s">
        <v>183</v>
      </c>
      <c r="DV56" s="25" t="s">
        <v>183</v>
      </c>
      <c r="DW56" s="25" t="s">
        <v>183</v>
      </c>
      <c r="DX56" s="25" t="s">
        <v>183</v>
      </c>
      <c r="DY56" s="24" t="s">
        <v>182</v>
      </c>
      <c r="DZ56" s="17" t="s">
        <v>1846</v>
      </c>
      <c r="EA56" s="17" t="s">
        <v>1847</v>
      </c>
      <c r="EB56" s="52" t="s">
        <v>301</v>
      </c>
      <c r="EC56" s="17" t="s">
        <v>1848</v>
      </c>
      <c r="ED56" s="27" t="s">
        <v>1067</v>
      </c>
      <c r="EE56" s="22">
        <v>6</v>
      </c>
      <c r="EF56" s="55" t="s">
        <v>497</v>
      </c>
    </row>
    <row r="57" spans="1:136" ht="15" customHeight="1" x14ac:dyDescent="0.25">
      <c r="A57" s="16" t="s">
        <v>1912</v>
      </c>
      <c r="B57" s="17" t="s">
        <v>1700</v>
      </c>
      <c r="C57" s="17" t="s">
        <v>1913</v>
      </c>
      <c r="D57" s="18">
        <v>42</v>
      </c>
      <c r="E57" s="18">
        <v>2.4900000000000002</v>
      </c>
      <c r="F57" s="18">
        <v>8.82</v>
      </c>
      <c r="G57" s="18">
        <v>5.3</v>
      </c>
      <c r="H57" s="18">
        <v>0.51</v>
      </c>
      <c r="I57" s="18">
        <v>78</v>
      </c>
      <c r="J57" s="18">
        <v>0.97</v>
      </c>
      <c r="K57" s="18">
        <v>70</v>
      </c>
      <c r="L57" s="18">
        <v>81</v>
      </c>
      <c r="M57" s="18">
        <v>508</v>
      </c>
      <c r="N57" s="18">
        <v>6</v>
      </c>
      <c r="O57" s="18">
        <v>0</v>
      </c>
      <c r="P57" s="18">
        <v>0</v>
      </c>
      <c r="Q57" s="18">
        <v>0</v>
      </c>
      <c r="R57" s="18">
        <v>0.9</v>
      </c>
      <c r="S57" s="18">
        <v>3778</v>
      </c>
      <c r="T57" s="18">
        <v>0</v>
      </c>
      <c r="U57" s="18">
        <v>11</v>
      </c>
      <c r="V57" s="18">
        <v>0.156</v>
      </c>
      <c r="W57" s="18">
        <v>0.34499999999999997</v>
      </c>
      <c r="X57" s="18">
        <v>1.1299999999999999</v>
      </c>
      <c r="Y57" s="18">
        <v>0.19</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0</v>
      </c>
      <c r="BG57" s="18">
        <v>0</v>
      </c>
      <c r="BH57" s="18">
        <v>0</v>
      </c>
      <c r="BI57" s="18">
        <v>0</v>
      </c>
      <c r="BJ57" s="18">
        <v>0</v>
      </c>
      <c r="BK57" s="18">
        <v>0</v>
      </c>
      <c r="BL57" s="18">
        <v>0</v>
      </c>
      <c r="BM57" s="18">
        <v>0</v>
      </c>
      <c r="BN57" s="18">
        <v>0</v>
      </c>
      <c r="BO57" s="51">
        <v>0</v>
      </c>
      <c r="BP57" s="51">
        <v>0</v>
      </c>
      <c r="BQ57" s="51">
        <v>0</v>
      </c>
      <c r="BR57" s="51">
        <v>0</v>
      </c>
      <c r="BS57" s="51">
        <v>0</v>
      </c>
      <c r="BT57" s="51">
        <v>0</v>
      </c>
      <c r="BU57" s="51">
        <v>0</v>
      </c>
      <c r="BV57" s="51">
        <v>0</v>
      </c>
      <c r="BW57" s="51">
        <v>0</v>
      </c>
      <c r="BX57" s="51">
        <v>0</v>
      </c>
      <c r="BY57" s="51">
        <v>0</v>
      </c>
      <c r="BZ57" s="51">
        <v>0</v>
      </c>
      <c r="CA57" s="51">
        <v>0</v>
      </c>
      <c r="CB57" s="51">
        <v>0</v>
      </c>
      <c r="CC57" s="51">
        <v>0</v>
      </c>
      <c r="CD57" s="51">
        <v>0</v>
      </c>
      <c r="CE57" s="51">
        <v>0</v>
      </c>
      <c r="CF57" s="51">
        <v>0</v>
      </c>
      <c r="CG57" s="51">
        <v>0</v>
      </c>
      <c r="CH57" s="51">
        <v>0</v>
      </c>
      <c r="CI57" s="19">
        <v>0.3</v>
      </c>
      <c r="CJ57" s="19">
        <v>0.5</v>
      </c>
      <c r="CK57" s="19">
        <v>1.5</v>
      </c>
      <c r="CL57" s="19">
        <v>4</v>
      </c>
      <c r="CM57" s="17" t="s">
        <v>1440</v>
      </c>
      <c r="CN57" s="20">
        <v>5</v>
      </c>
      <c r="CO57" s="20">
        <v>40</v>
      </c>
      <c r="CP57" s="17" t="s">
        <v>1914</v>
      </c>
      <c r="CQ57" s="17" t="s">
        <v>209</v>
      </c>
      <c r="CR57" s="21">
        <v>6</v>
      </c>
      <c r="CS57" s="21">
        <v>8</v>
      </c>
      <c r="CT57" s="21">
        <v>8</v>
      </c>
      <c r="CU57" s="21">
        <v>2</v>
      </c>
      <c r="CV57" s="21">
        <v>3</v>
      </c>
      <c r="CW57" s="21">
        <v>0</v>
      </c>
      <c r="CX57" s="21">
        <v>3</v>
      </c>
      <c r="CY57" s="21">
        <v>10</v>
      </c>
      <c r="CZ57" s="21">
        <v>5</v>
      </c>
      <c r="DA57" s="21">
        <v>160</v>
      </c>
      <c r="DB57" s="21">
        <v>200</v>
      </c>
      <c r="DC57" s="21">
        <v>250</v>
      </c>
      <c r="DD57" s="21">
        <v>25</v>
      </c>
      <c r="DE57" s="21">
        <v>25</v>
      </c>
      <c r="DF57" s="21">
        <v>0</v>
      </c>
      <c r="DG57" s="21">
        <v>30</v>
      </c>
      <c r="DH57" s="21">
        <v>350</v>
      </c>
      <c r="DI57" s="21">
        <v>100</v>
      </c>
      <c r="DJ57" s="17" t="s">
        <v>1915</v>
      </c>
      <c r="DK57" s="17" t="s">
        <v>180</v>
      </c>
      <c r="DL57" s="22">
        <v>75</v>
      </c>
      <c r="DM57" s="17" t="s">
        <v>1916</v>
      </c>
      <c r="DN57" s="23"/>
      <c r="DO57" s="24" t="s">
        <v>182</v>
      </c>
      <c r="DP57" s="25" t="s">
        <v>183</v>
      </c>
      <c r="DQ57" s="25" t="s">
        <v>183</v>
      </c>
      <c r="DR57" s="25" t="s">
        <v>183</v>
      </c>
      <c r="DS57" s="24" t="s">
        <v>182</v>
      </c>
      <c r="DT57" s="23"/>
      <c r="DU57" s="23"/>
      <c r="DV57" s="23"/>
      <c r="DW57" s="23"/>
      <c r="DX57" s="23"/>
      <c r="DY57" s="23"/>
      <c r="DZ57" s="17" t="s">
        <v>1917</v>
      </c>
      <c r="EA57" s="17" t="s">
        <v>1918</v>
      </c>
      <c r="EB57" s="48" t="s">
        <v>239</v>
      </c>
      <c r="EC57" s="17" t="s">
        <v>1919</v>
      </c>
      <c r="ED57" s="27" t="s">
        <v>1273</v>
      </c>
      <c r="EE57" s="22">
        <v>2</v>
      </c>
      <c r="EF57" s="49" t="s">
        <v>242</v>
      </c>
    </row>
    <row r="58" spans="1:136" ht="15" customHeight="1" x14ac:dyDescent="0.25">
      <c r="A58" s="16" t="s">
        <v>2188</v>
      </c>
      <c r="B58" s="17" t="s">
        <v>2189</v>
      </c>
      <c r="C58" s="17" t="s">
        <v>2190</v>
      </c>
      <c r="D58" s="18">
        <v>44</v>
      </c>
      <c r="E58" s="18">
        <v>3.3</v>
      </c>
      <c r="F58" s="18">
        <v>9.5</v>
      </c>
      <c r="G58" s="18">
        <v>3.3</v>
      </c>
      <c r="H58" s="18">
        <v>0.3</v>
      </c>
      <c r="I58" s="18">
        <v>65</v>
      </c>
      <c r="J58" s="18">
        <v>1</v>
      </c>
      <c r="K58" s="18">
        <v>58</v>
      </c>
      <c r="L58" s="18">
        <v>65</v>
      </c>
      <c r="M58" s="18">
        <v>215</v>
      </c>
      <c r="N58" s="18">
        <v>4</v>
      </c>
      <c r="O58" s="18">
        <v>0.34</v>
      </c>
      <c r="P58" s="18">
        <v>0.1</v>
      </c>
      <c r="Q58" s="18">
        <v>0.308</v>
      </c>
      <c r="R58" s="18">
        <v>0.9</v>
      </c>
      <c r="S58" s="18">
        <v>1369</v>
      </c>
      <c r="T58" s="18">
        <v>0.49</v>
      </c>
      <c r="U58" s="18">
        <v>33</v>
      </c>
      <c r="V58" s="18">
        <v>0.15</v>
      </c>
      <c r="W58" s="18">
        <v>0.14000000000000001</v>
      </c>
      <c r="X58" s="18">
        <v>1.2</v>
      </c>
      <c r="Y58" s="18">
        <v>0.17299999999999999</v>
      </c>
      <c r="Z58" s="18">
        <v>0</v>
      </c>
      <c r="AA58" s="18">
        <v>53</v>
      </c>
      <c r="AB58" s="18">
        <v>11426</v>
      </c>
      <c r="AC58" s="18" t="s">
        <v>2191</v>
      </c>
      <c r="AD58" s="18" t="s">
        <v>2192</v>
      </c>
      <c r="AE58" s="18" t="s">
        <v>2062</v>
      </c>
      <c r="AF58" s="18" t="s">
        <v>2193</v>
      </c>
      <c r="AG58" s="18" t="s">
        <v>2194</v>
      </c>
      <c r="AH58" s="18" t="s">
        <v>2195</v>
      </c>
      <c r="AI58" s="18" t="s">
        <v>226</v>
      </c>
      <c r="AJ58" s="18" t="s">
        <v>156</v>
      </c>
      <c r="AK58" s="18" t="s">
        <v>687</v>
      </c>
      <c r="AL58" s="18" t="s">
        <v>282</v>
      </c>
      <c r="AM58" s="18">
        <v>0</v>
      </c>
      <c r="AN58" s="18">
        <v>0</v>
      </c>
      <c r="AO58" s="18" t="s">
        <v>2066</v>
      </c>
      <c r="AP58" s="18" t="s">
        <v>2066</v>
      </c>
      <c r="AQ58" s="18" t="s">
        <v>362</v>
      </c>
      <c r="AR58" s="18">
        <v>0</v>
      </c>
      <c r="AS58" s="18">
        <v>0</v>
      </c>
      <c r="AT58" s="18">
        <v>0</v>
      </c>
      <c r="AU58" s="18">
        <v>0</v>
      </c>
      <c r="AV58" s="18">
        <v>0</v>
      </c>
      <c r="AW58" s="18">
        <v>0</v>
      </c>
      <c r="AX58" s="18">
        <v>0</v>
      </c>
      <c r="AY58" s="18">
        <v>0</v>
      </c>
      <c r="AZ58" s="18">
        <v>0</v>
      </c>
      <c r="BA58" s="18">
        <v>0</v>
      </c>
      <c r="BB58" s="18">
        <v>0</v>
      </c>
      <c r="BC58" s="18">
        <v>0</v>
      </c>
      <c r="BD58" s="18">
        <v>0</v>
      </c>
      <c r="BE58" s="18">
        <v>0</v>
      </c>
      <c r="BF58" s="18">
        <v>0</v>
      </c>
      <c r="BG58" s="18">
        <v>0</v>
      </c>
      <c r="BH58" s="18">
        <v>0</v>
      </c>
      <c r="BI58" s="18">
        <v>0</v>
      </c>
      <c r="BJ58" s="18">
        <v>0</v>
      </c>
      <c r="BK58" s="18">
        <v>0</v>
      </c>
      <c r="BL58" s="18">
        <v>0</v>
      </c>
      <c r="BM58" s="18">
        <v>0</v>
      </c>
      <c r="BN58" s="18">
        <v>0</v>
      </c>
      <c r="BO58" s="51">
        <v>0</v>
      </c>
      <c r="BP58" s="51">
        <v>0</v>
      </c>
      <c r="BQ58" s="51">
        <v>0</v>
      </c>
      <c r="BR58" s="51">
        <v>0</v>
      </c>
      <c r="BS58" s="51">
        <v>0</v>
      </c>
      <c r="BT58" s="51">
        <v>0</v>
      </c>
      <c r="BU58" s="51">
        <v>0</v>
      </c>
      <c r="BV58" s="51">
        <v>0</v>
      </c>
      <c r="BW58" s="51">
        <v>0</v>
      </c>
      <c r="BX58" s="51">
        <v>0</v>
      </c>
      <c r="BY58" s="51">
        <v>0</v>
      </c>
      <c r="BZ58" s="51">
        <v>0</v>
      </c>
      <c r="CA58" s="51">
        <v>0</v>
      </c>
      <c r="CB58" s="51">
        <v>0</v>
      </c>
      <c r="CC58" s="51">
        <v>0</v>
      </c>
      <c r="CD58" s="51">
        <v>0</v>
      </c>
      <c r="CE58" s="51">
        <v>0</v>
      </c>
      <c r="CF58" s="51">
        <v>0</v>
      </c>
      <c r="CG58" s="51">
        <v>0</v>
      </c>
      <c r="CH58" s="51">
        <v>0</v>
      </c>
      <c r="CI58" s="32">
        <v>0.3</v>
      </c>
      <c r="CJ58" s="32">
        <v>0.9</v>
      </c>
      <c r="CK58" s="32">
        <v>0.3</v>
      </c>
      <c r="CL58" s="32">
        <v>0.6</v>
      </c>
      <c r="CM58" s="33" t="s">
        <v>2196</v>
      </c>
      <c r="CN58" s="34">
        <v>0.3</v>
      </c>
      <c r="CO58" s="34">
        <v>2.5</v>
      </c>
      <c r="CP58" s="35" t="s">
        <v>2197</v>
      </c>
      <c r="CQ58" s="35" t="s">
        <v>209</v>
      </c>
      <c r="CR58" s="36">
        <v>5</v>
      </c>
      <c r="CS58" s="36">
        <v>3</v>
      </c>
      <c r="CT58" s="36">
        <v>8</v>
      </c>
      <c r="CU58" s="36">
        <v>1</v>
      </c>
      <c r="CV58" s="36">
        <v>2</v>
      </c>
      <c r="CW58" s="36">
        <v>0</v>
      </c>
      <c r="CX58" s="36">
        <v>2</v>
      </c>
      <c r="CY58" s="36">
        <v>8</v>
      </c>
      <c r="CZ58" s="36">
        <v>5</v>
      </c>
      <c r="DA58" s="37">
        <v>150</v>
      </c>
      <c r="DB58" s="37">
        <v>80</v>
      </c>
      <c r="DC58" s="37">
        <v>300</v>
      </c>
      <c r="DD58" s="37">
        <v>15</v>
      </c>
      <c r="DE58" s="37">
        <v>20</v>
      </c>
      <c r="DF58" s="37">
        <v>0</v>
      </c>
      <c r="DG58" s="37">
        <v>20</v>
      </c>
      <c r="DH58" s="37">
        <v>350</v>
      </c>
      <c r="DI58" s="37">
        <v>100</v>
      </c>
      <c r="DJ58" s="38" t="s">
        <v>2198</v>
      </c>
      <c r="DK58" s="39" t="s">
        <v>1979</v>
      </c>
      <c r="DL58" s="40">
        <v>150</v>
      </c>
      <c r="DM58" s="39" t="s">
        <v>2199</v>
      </c>
      <c r="DN58" s="41"/>
      <c r="DO58" s="24" t="s">
        <v>182</v>
      </c>
      <c r="DP58" s="25" t="s">
        <v>183</v>
      </c>
      <c r="DQ58" s="25" t="s">
        <v>183</v>
      </c>
      <c r="DR58" s="25" t="s">
        <v>183</v>
      </c>
      <c r="DS58" s="24" t="s">
        <v>182</v>
      </c>
      <c r="DT58" s="41"/>
      <c r="DU58" s="41"/>
      <c r="DV58" s="41"/>
      <c r="DW58" s="41"/>
      <c r="DX58" s="41"/>
      <c r="DY58" s="41"/>
      <c r="DZ58" s="42" t="s">
        <v>2200</v>
      </c>
      <c r="EA58" s="42" t="s">
        <v>2201</v>
      </c>
      <c r="EB58" s="48" t="s">
        <v>239</v>
      </c>
      <c r="EC58" s="44" t="s">
        <v>2202</v>
      </c>
      <c r="ED58" s="45" t="s">
        <v>1500</v>
      </c>
      <c r="EE58" s="46">
        <v>2</v>
      </c>
      <c r="EF58" s="57" t="s">
        <v>1501</v>
      </c>
    </row>
    <row r="59" spans="1:136" ht="15" customHeight="1" x14ac:dyDescent="0.25">
      <c r="A59" s="16" t="s">
        <v>1760</v>
      </c>
      <c r="B59" s="17" t="s">
        <v>1700</v>
      </c>
      <c r="C59" s="17" t="s">
        <v>1761</v>
      </c>
      <c r="D59" s="18">
        <v>28.7</v>
      </c>
      <c r="E59" s="18">
        <v>1.5</v>
      </c>
      <c r="F59" s="18">
        <v>0.3</v>
      </c>
      <c r="G59" s="18">
        <v>2.6</v>
      </c>
      <c r="H59" s="18">
        <v>4.7</v>
      </c>
      <c r="I59" s="18">
        <v>90</v>
      </c>
      <c r="J59" s="18">
        <v>2.8</v>
      </c>
      <c r="K59" s="18">
        <v>12</v>
      </c>
      <c r="L59" s="18">
        <v>58</v>
      </c>
      <c r="M59" s="18">
        <v>210</v>
      </c>
      <c r="N59" s="18">
        <v>7</v>
      </c>
      <c r="O59" s="18">
        <v>0.4</v>
      </c>
      <c r="P59" s="18"/>
      <c r="Q59" s="18"/>
      <c r="R59" s="18">
        <v>0.9</v>
      </c>
      <c r="S59" s="18">
        <v>383</v>
      </c>
      <c r="T59" s="18">
        <v>0.21</v>
      </c>
      <c r="U59" s="18">
        <v>29</v>
      </c>
      <c r="V59" s="18">
        <v>0.06</v>
      </c>
      <c r="W59" s="18">
        <v>0.21</v>
      </c>
      <c r="X59" s="18">
        <v>0.7</v>
      </c>
      <c r="Y59" s="18">
        <v>0.14000000000000001</v>
      </c>
      <c r="Z59" s="18">
        <v>0</v>
      </c>
      <c r="AA59" s="18">
        <v>105</v>
      </c>
      <c r="AB59" s="18">
        <v>810</v>
      </c>
      <c r="AC59" s="18" t="s">
        <v>1762</v>
      </c>
      <c r="AD59" s="18" t="s">
        <v>221</v>
      </c>
      <c r="AE59" s="18" t="s">
        <v>222</v>
      </c>
      <c r="AF59" s="18"/>
      <c r="AG59" s="18" t="s">
        <v>1763</v>
      </c>
      <c r="AH59" s="18" t="s">
        <v>1764</v>
      </c>
      <c r="AI59" s="18" t="s">
        <v>155</v>
      </c>
      <c r="AJ59" s="18" t="s">
        <v>156</v>
      </c>
      <c r="AK59" s="18" t="s">
        <v>157</v>
      </c>
      <c r="AL59" s="18" t="s">
        <v>671</v>
      </c>
      <c r="AM59" s="18" t="s">
        <v>159</v>
      </c>
      <c r="AN59" s="18"/>
      <c r="AO59" s="18" t="s">
        <v>161</v>
      </c>
      <c r="AP59" s="18" t="s">
        <v>161</v>
      </c>
      <c r="AQ59" s="18" t="s">
        <v>162</v>
      </c>
      <c r="AR59" s="18">
        <v>10</v>
      </c>
      <c r="AS59" s="18">
        <v>20</v>
      </c>
      <c r="AT59" s="18">
        <v>2</v>
      </c>
      <c r="AU59" s="18">
        <v>35</v>
      </c>
      <c r="AV59" s="18">
        <v>450</v>
      </c>
      <c r="AW59" s="18">
        <v>1600</v>
      </c>
      <c r="AX59" s="18">
        <v>300</v>
      </c>
      <c r="AY59" s="18">
        <v>2800</v>
      </c>
      <c r="AZ59" s="18">
        <v>6</v>
      </c>
      <c r="BA59" s="18">
        <v>6.6</v>
      </c>
      <c r="BB59" s="18">
        <v>5</v>
      </c>
      <c r="BC59" s="18">
        <v>8.1999999999999993</v>
      </c>
      <c r="BD59" s="18">
        <v>20</v>
      </c>
      <c r="BE59" s="18"/>
      <c r="BF59" s="18">
        <v>60</v>
      </c>
      <c r="BG59" s="18">
        <v>60</v>
      </c>
      <c r="BH59" s="18">
        <v>2000</v>
      </c>
      <c r="BI59" s="18" t="s">
        <v>163</v>
      </c>
      <c r="BJ59" s="18" t="s">
        <v>163</v>
      </c>
      <c r="BK59" s="18" t="s">
        <v>163</v>
      </c>
      <c r="BL59" s="18" t="s">
        <v>164</v>
      </c>
      <c r="BM59" s="18" t="s">
        <v>201</v>
      </c>
      <c r="BN59" s="18" t="s">
        <v>201</v>
      </c>
      <c r="BO59" s="18" t="s">
        <v>167</v>
      </c>
      <c r="BP59" s="18" t="s">
        <v>203</v>
      </c>
      <c r="BQ59" s="18" t="s">
        <v>169</v>
      </c>
      <c r="BR59" s="18" t="s">
        <v>230</v>
      </c>
      <c r="BS59" s="18"/>
      <c r="BT59" s="18"/>
      <c r="BU59" s="18" t="s">
        <v>171</v>
      </c>
      <c r="BV59" s="18" t="s">
        <v>171</v>
      </c>
      <c r="BW59" s="18" t="s">
        <v>172</v>
      </c>
      <c r="BX59" s="18" t="s">
        <v>172</v>
      </c>
      <c r="BY59" s="18"/>
      <c r="BZ59" s="18"/>
      <c r="CA59" s="18" t="s">
        <v>204</v>
      </c>
      <c r="CB59" s="18" t="s">
        <v>1765</v>
      </c>
      <c r="CC59" s="18"/>
      <c r="CD59" s="18"/>
      <c r="CE59" s="18"/>
      <c r="CF59" s="18"/>
      <c r="CG59" s="18">
        <v>70</v>
      </c>
      <c r="CH59" s="18">
        <v>100</v>
      </c>
      <c r="CI59" s="32">
        <v>0.2</v>
      </c>
      <c r="CJ59" s="32">
        <v>0.5</v>
      </c>
      <c r="CK59" s="32">
        <v>0.2</v>
      </c>
      <c r="CL59" s="32">
        <v>0.4</v>
      </c>
      <c r="CM59" s="33" t="s">
        <v>1766</v>
      </c>
      <c r="CN59" s="34">
        <v>8</v>
      </c>
      <c r="CO59" s="34">
        <v>30</v>
      </c>
      <c r="CP59" s="35" t="s">
        <v>1767</v>
      </c>
      <c r="CQ59" s="35" t="s">
        <v>723</v>
      </c>
      <c r="CR59" s="36">
        <v>3</v>
      </c>
      <c r="CS59" s="36">
        <v>3</v>
      </c>
      <c r="CT59" s="36">
        <v>6</v>
      </c>
      <c r="CU59" s="36">
        <v>2</v>
      </c>
      <c r="CV59" s="36">
        <v>2</v>
      </c>
      <c r="CW59" s="36">
        <v>0</v>
      </c>
      <c r="CX59" s="36">
        <v>3</v>
      </c>
      <c r="CY59" s="36">
        <v>15</v>
      </c>
      <c r="CZ59" s="36">
        <v>5</v>
      </c>
      <c r="DA59" s="37">
        <v>100</v>
      </c>
      <c r="DB59" s="37">
        <v>80</v>
      </c>
      <c r="DC59" s="37">
        <v>200</v>
      </c>
      <c r="DD59" s="37">
        <v>20</v>
      </c>
      <c r="DE59" s="37">
        <v>15</v>
      </c>
      <c r="DF59" s="37">
        <v>0</v>
      </c>
      <c r="DG59" s="37">
        <v>30</v>
      </c>
      <c r="DH59" s="37">
        <v>300</v>
      </c>
      <c r="DI59" s="37">
        <v>80</v>
      </c>
      <c r="DJ59" s="38" t="s">
        <v>1768</v>
      </c>
      <c r="DK59" s="39" t="s">
        <v>180</v>
      </c>
      <c r="DL59" s="40">
        <v>75</v>
      </c>
      <c r="DM59" s="39" t="s">
        <v>1769</v>
      </c>
      <c r="DN59" s="25" t="s">
        <v>183</v>
      </c>
      <c r="DO59" s="25" t="s">
        <v>183</v>
      </c>
      <c r="DP59" s="25" t="s">
        <v>183</v>
      </c>
      <c r="DQ59" s="24" t="s">
        <v>182</v>
      </c>
      <c r="DR59" s="41"/>
      <c r="DS59" s="41"/>
      <c r="DT59" s="24" t="s">
        <v>182</v>
      </c>
      <c r="DU59" s="25" t="s">
        <v>183</v>
      </c>
      <c r="DV59" s="25" t="s">
        <v>183</v>
      </c>
      <c r="DW59" s="25" t="s">
        <v>183</v>
      </c>
      <c r="DX59" s="25" t="s">
        <v>183</v>
      </c>
      <c r="DY59" s="25" t="s">
        <v>183</v>
      </c>
      <c r="DZ59" s="42" t="s">
        <v>1770</v>
      </c>
      <c r="EA59" s="42" t="s">
        <v>1771</v>
      </c>
      <c r="EB59" s="43" t="s">
        <v>214</v>
      </c>
      <c r="EC59" s="44" t="s">
        <v>1772</v>
      </c>
      <c r="ED59" s="45" t="s">
        <v>1067</v>
      </c>
      <c r="EE59" s="46">
        <v>2</v>
      </c>
      <c r="EF59" s="47" t="s">
        <v>304</v>
      </c>
    </row>
    <row r="60" spans="1:136" ht="15" customHeight="1" x14ac:dyDescent="0.25">
      <c r="A60" s="16" t="s">
        <v>1929</v>
      </c>
      <c r="B60" s="17" t="s">
        <v>1700</v>
      </c>
      <c r="C60" s="17" t="s">
        <v>1930</v>
      </c>
      <c r="D60" s="18">
        <v>11</v>
      </c>
      <c r="E60" s="18">
        <v>2.2999999999999998</v>
      </c>
      <c r="F60" s="18">
        <v>1.29</v>
      </c>
      <c r="G60" s="18">
        <v>0.5</v>
      </c>
      <c r="H60" s="18">
        <v>0.1</v>
      </c>
      <c r="I60" s="18">
        <v>120</v>
      </c>
      <c r="J60" s="18">
        <v>0.2</v>
      </c>
      <c r="K60" s="18">
        <v>21</v>
      </c>
      <c r="L60" s="18">
        <v>60</v>
      </c>
      <c r="M60" s="18">
        <v>330</v>
      </c>
      <c r="N60" s="18">
        <v>41</v>
      </c>
      <c r="O60" s="18">
        <v>0.11</v>
      </c>
      <c r="P60" s="18">
        <v>7.6999999999999999E-2</v>
      </c>
      <c r="Q60" s="18">
        <v>0.24399999999999999</v>
      </c>
      <c r="R60" s="18">
        <v>0.9</v>
      </c>
      <c r="S60" s="18">
        <v>3191</v>
      </c>
      <c r="T60" s="18">
        <v>1</v>
      </c>
      <c r="U60" s="18">
        <v>43</v>
      </c>
      <c r="V60" s="18">
        <v>0.09</v>
      </c>
      <c r="W60" s="18">
        <v>0.12</v>
      </c>
      <c r="X60" s="18">
        <v>0.2</v>
      </c>
      <c r="Y60" s="18">
        <v>0.129</v>
      </c>
      <c r="Z60" s="18">
        <v>0</v>
      </c>
      <c r="AA60" s="18">
        <v>9</v>
      </c>
      <c r="AB60" s="18">
        <v>1264</v>
      </c>
      <c r="AC60" s="18" t="s">
        <v>1931</v>
      </c>
      <c r="AD60" s="18" t="s">
        <v>1932</v>
      </c>
      <c r="AE60" s="18" t="s">
        <v>1933</v>
      </c>
      <c r="AF60" s="18" t="s">
        <v>1934</v>
      </c>
      <c r="AG60" s="18" t="s">
        <v>1935</v>
      </c>
      <c r="AH60" s="18" t="s">
        <v>1936</v>
      </c>
      <c r="AI60" s="18" t="s">
        <v>155</v>
      </c>
      <c r="AJ60" s="18" t="s">
        <v>504</v>
      </c>
      <c r="AK60" s="18" t="s">
        <v>505</v>
      </c>
      <c r="AL60" s="18" t="s">
        <v>314</v>
      </c>
      <c r="AM60" s="18">
        <v>0</v>
      </c>
      <c r="AN60" s="18" t="s">
        <v>1117</v>
      </c>
      <c r="AO60" s="18" t="s">
        <v>1692</v>
      </c>
      <c r="AP60" s="18" t="s">
        <v>286</v>
      </c>
      <c r="AQ60" s="18" t="s">
        <v>362</v>
      </c>
      <c r="AR60" s="18">
        <v>15</v>
      </c>
      <c r="AS60" s="18">
        <v>35</v>
      </c>
      <c r="AT60" s="18">
        <v>10</v>
      </c>
      <c r="AU60" s="18">
        <v>40</v>
      </c>
      <c r="AV60" s="18">
        <v>2000</v>
      </c>
      <c r="AW60" s="18">
        <v>2500</v>
      </c>
      <c r="AX60" s="18">
        <v>700</v>
      </c>
      <c r="AY60" s="18">
        <v>4200</v>
      </c>
      <c r="AZ60" s="18">
        <v>5</v>
      </c>
      <c r="BA60" s="18">
        <v>7</v>
      </c>
      <c r="BB60" s="18">
        <v>4.3</v>
      </c>
      <c r="BC60" s="18">
        <v>7.5</v>
      </c>
      <c r="BD60" s="18">
        <v>0</v>
      </c>
      <c r="BE60" s="18">
        <v>0</v>
      </c>
      <c r="BF60" s="18">
        <v>0</v>
      </c>
      <c r="BG60" s="18">
        <v>0</v>
      </c>
      <c r="BH60" s="18">
        <v>0</v>
      </c>
      <c r="BI60" s="18" t="s">
        <v>163</v>
      </c>
      <c r="BJ60" s="18" t="s">
        <v>163</v>
      </c>
      <c r="BK60" s="18" t="s">
        <v>163</v>
      </c>
      <c r="BL60" s="18" t="s">
        <v>164</v>
      </c>
      <c r="BM60" s="18" t="s">
        <v>201</v>
      </c>
      <c r="BN60" s="18" t="s">
        <v>201</v>
      </c>
      <c r="BO60" s="51" t="s">
        <v>1937</v>
      </c>
      <c r="BP60" s="51" t="s">
        <v>203</v>
      </c>
      <c r="BQ60" s="51" t="s">
        <v>169</v>
      </c>
      <c r="BR60" s="51" t="s">
        <v>170</v>
      </c>
      <c r="BS60" s="51">
        <v>0</v>
      </c>
      <c r="BT60" s="51">
        <v>0</v>
      </c>
      <c r="BU60" s="51" t="s">
        <v>171</v>
      </c>
      <c r="BV60" s="51" t="s">
        <v>171</v>
      </c>
      <c r="BW60" s="51" t="s">
        <v>1586</v>
      </c>
      <c r="BX60" s="51" t="s">
        <v>318</v>
      </c>
      <c r="BY60" s="51">
        <v>0</v>
      </c>
      <c r="BZ60" s="51">
        <v>0</v>
      </c>
      <c r="CA60" s="51" t="s">
        <v>291</v>
      </c>
      <c r="CB60" s="51" t="s">
        <v>583</v>
      </c>
      <c r="CC60" s="51">
        <v>0</v>
      </c>
      <c r="CD60" s="51">
        <v>0</v>
      </c>
      <c r="CE60" s="51">
        <v>0</v>
      </c>
      <c r="CF60" s="51">
        <v>0</v>
      </c>
      <c r="CG60" s="51">
        <v>30</v>
      </c>
      <c r="CH60" s="51">
        <v>70</v>
      </c>
      <c r="CI60" s="19">
        <v>0.3</v>
      </c>
      <c r="CJ60" s="19">
        <v>1</v>
      </c>
      <c r="CK60" s="19">
        <v>0.5</v>
      </c>
      <c r="CL60" s="19">
        <v>2</v>
      </c>
      <c r="CM60" s="17" t="s">
        <v>1938</v>
      </c>
      <c r="CN60" s="20">
        <v>10</v>
      </c>
      <c r="CO60" s="20">
        <v>40</v>
      </c>
      <c r="CP60" s="17" t="s">
        <v>1939</v>
      </c>
      <c r="CQ60" s="17" t="s">
        <v>1940</v>
      </c>
      <c r="CR60" s="21">
        <v>3</v>
      </c>
      <c r="CS60" s="21">
        <v>3</v>
      </c>
      <c r="CT60" s="21">
        <v>5</v>
      </c>
      <c r="CU60" s="21">
        <v>2</v>
      </c>
      <c r="CV60" s="21">
        <v>2</v>
      </c>
      <c r="CW60" s="21">
        <v>0</v>
      </c>
      <c r="CX60" s="21">
        <v>5</v>
      </c>
      <c r="CY60" s="21">
        <v>15</v>
      </c>
      <c r="CZ60" s="21">
        <v>5</v>
      </c>
      <c r="DA60" s="21">
        <v>80</v>
      </c>
      <c r="DB60" s="21">
        <v>80</v>
      </c>
      <c r="DC60" s="21">
        <v>150</v>
      </c>
      <c r="DD60" s="21">
        <v>20</v>
      </c>
      <c r="DE60" s="21">
        <v>15</v>
      </c>
      <c r="DF60" s="21">
        <v>0</v>
      </c>
      <c r="DG60" s="21">
        <v>50</v>
      </c>
      <c r="DH60" s="21">
        <v>350</v>
      </c>
      <c r="DI60" s="21">
        <v>80</v>
      </c>
      <c r="DJ60" s="17" t="s">
        <v>1941</v>
      </c>
      <c r="DK60" s="17" t="s">
        <v>180</v>
      </c>
      <c r="DL60" s="22">
        <v>75</v>
      </c>
      <c r="DM60" s="17" t="s">
        <v>1942</v>
      </c>
      <c r="DN60" s="25" t="s">
        <v>183</v>
      </c>
      <c r="DO60" s="25" t="s">
        <v>183</v>
      </c>
      <c r="DP60" s="25" t="s">
        <v>183</v>
      </c>
      <c r="DQ60" s="24" t="s">
        <v>182</v>
      </c>
      <c r="DR60" s="23"/>
      <c r="DS60" s="23"/>
      <c r="DT60" s="23"/>
      <c r="DU60" s="23"/>
      <c r="DV60" s="23"/>
      <c r="DW60" s="23"/>
      <c r="DX60" s="24" t="s">
        <v>182</v>
      </c>
      <c r="DY60" s="25" t="s">
        <v>183</v>
      </c>
      <c r="DZ60" s="17" t="s">
        <v>1943</v>
      </c>
      <c r="EA60" s="17" t="s">
        <v>1944</v>
      </c>
      <c r="EB60" s="58" t="s">
        <v>1815</v>
      </c>
      <c r="EC60" s="17" t="s">
        <v>1816</v>
      </c>
      <c r="ED60" s="27" t="s">
        <v>1875</v>
      </c>
      <c r="EE60" s="22">
        <v>0</v>
      </c>
      <c r="EF60" s="55" t="s">
        <v>1068</v>
      </c>
    </row>
    <row r="61" spans="1:136" ht="15" customHeight="1" x14ac:dyDescent="0.25">
      <c r="A61" s="16" t="s">
        <v>2554</v>
      </c>
      <c r="B61" s="17" t="s">
        <v>2555</v>
      </c>
      <c r="C61" s="17" t="s">
        <v>2556</v>
      </c>
      <c r="D61" s="18">
        <v>350.9</v>
      </c>
      <c r="E61" s="18">
        <v>0.2</v>
      </c>
      <c r="F61" s="18">
        <v>0.2</v>
      </c>
      <c r="G61" s="18">
        <v>85.5</v>
      </c>
      <c r="H61" s="18">
        <v>0.4</v>
      </c>
      <c r="I61" s="18">
        <v>10</v>
      </c>
      <c r="J61" s="18">
        <v>1.2</v>
      </c>
      <c r="K61" s="18">
        <v>3</v>
      </c>
      <c r="L61" s="18">
        <v>29</v>
      </c>
      <c r="M61" s="18">
        <v>5</v>
      </c>
      <c r="N61" s="18">
        <v>3</v>
      </c>
      <c r="O61" s="18">
        <v>1.3</v>
      </c>
      <c r="P61" s="18"/>
      <c r="Q61" s="18"/>
      <c r="R61" s="18">
        <v>0.9</v>
      </c>
      <c r="S61" s="18">
        <v>0</v>
      </c>
      <c r="T61" s="18">
        <v>0</v>
      </c>
      <c r="U61" s="18">
        <v>0</v>
      </c>
      <c r="V61" s="18">
        <v>0</v>
      </c>
      <c r="W61" s="18">
        <v>0</v>
      </c>
      <c r="X61" s="18">
        <v>0</v>
      </c>
      <c r="Y61" s="18">
        <v>0</v>
      </c>
      <c r="Z61" s="18">
        <v>0</v>
      </c>
      <c r="AA61" s="18">
        <v>0</v>
      </c>
      <c r="AB61" s="18">
        <v>1466</v>
      </c>
      <c r="AC61" s="18" t="s">
        <v>2557</v>
      </c>
      <c r="AD61" s="18" t="s">
        <v>2558</v>
      </c>
      <c r="AE61" s="18" t="s">
        <v>334</v>
      </c>
      <c r="AF61" s="18" t="s">
        <v>2559</v>
      </c>
      <c r="AG61" s="18" t="s">
        <v>2560</v>
      </c>
      <c r="AH61" s="18" t="s">
        <v>2561</v>
      </c>
      <c r="AI61" s="18" t="s">
        <v>226</v>
      </c>
      <c r="AJ61" s="18" t="s">
        <v>337</v>
      </c>
      <c r="AK61" s="18" t="s">
        <v>157</v>
      </c>
      <c r="AL61" s="18" t="s">
        <v>314</v>
      </c>
      <c r="AM61" s="18"/>
      <c r="AN61" s="18" t="s">
        <v>338</v>
      </c>
      <c r="AO61" s="18" t="s">
        <v>2562</v>
      </c>
      <c r="AP61" s="18" t="s">
        <v>161</v>
      </c>
      <c r="AQ61" s="18" t="s">
        <v>162</v>
      </c>
      <c r="AR61" s="18">
        <v>25</v>
      </c>
      <c r="AS61" s="18">
        <v>36</v>
      </c>
      <c r="AT61" s="18">
        <v>18</v>
      </c>
      <c r="AU61" s="18">
        <v>40</v>
      </c>
      <c r="AV61" s="18">
        <v>3000</v>
      </c>
      <c r="AW61" s="18">
        <v>4500</v>
      </c>
      <c r="AX61" s="18">
        <v>2100</v>
      </c>
      <c r="AY61" s="18">
        <v>5800</v>
      </c>
      <c r="AZ61" s="18">
        <v>5.5</v>
      </c>
      <c r="BA61" s="18">
        <v>6.5</v>
      </c>
      <c r="BB61" s="18">
        <v>4.5</v>
      </c>
      <c r="BC61" s="18">
        <v>8.5</v>
      </c>
      <c r="BD61" s="18"/>
      <c r="BE61" s="18"/>
      <c r="BF61" s="18"/>
      <c r="BG61" s="18"/>
      <c r="BH61" s="18">
        <v>700</v>
      </c>
      <c r="BI61" s="18" t="s">
        <v>163</v>
      </c>
      <c r="BJ61" s="18" t="s">
        <v>163</v>
      </c>
      <c r="BK61" s="18" t="s">
        <v>163</v>
      </c>
      <c r="BL61" s="18" t="s">
        <v>164</v>
      </c>
      <c r="BM61" s="18" t="s">
        <v>288</v>
      </c>
      <c r="BN61" s="18" t="s">
        <v>166</v>
      </c>
      <c r="BO61" s="18" t="s">
        <v>168</v>
      </c>
      <c r="BP61" s="18" t="s">
        <v>567</v>
      </c>
      <c r="BQ61" s="18" t="s">
        <v>169</v>
      </c>
      <c r="BR61" s="18" t="s">
        <v>170</v>
      </c>
      <c r="BS61" s="18"/>
      <c r="BT61" s="18"/>
      <c r="BU61" s="18" t="s">
        <v>171</v>
      </c>
      <c r="BV61" s="18" t="s">
        <v>231</v>
      </c>
      <c r="BW61" s="18" t="s">
        <v>1586</v>
      </c>
      <c r="BX61" s="18" t="s">
        <v>318</v>
      </c>
      <c r="BY61" s="18">
        <v>10</v>
      </c>
      <c r="BZ61" s="18">
        <v>0</v>
      </c>
      <c r="CA61" s="18" t="s">
        <v>173</v>
      </c>
      <c r="CB61" s="18" t="s">
        <v>775</v>
      </c>
      <c r="CC61" s="18"/>
      <c r="CD61" s="18"/>
      <c r="CE61" s="18"/>
      <c r="CF61" s="18"/>
      <c r="CG61" s="18">
        <v>365</v>
      </c>
      <c r="CH61" s="18">
        <v>365</v>
      </c>
      <c r="CI61" s="32">
        <v>6</v>
      </c>
      <c r="CJ61" s="32">
        <v>15</v>
      </c>
      <c r="CK61" s="32">
        <v>4</v>
      </c>
      <c r="CL61" s="32">
        <v>10</v>
      </c>
      <c r="CM61" s="33" t="s">
        <v>2563</v>
      </c>
      <c r="CN61" s="34">
        <v>5</v>
      </c>
      <c r="CO61" s="34">
        <v>25</v>
      </c>
      <c r="CP61" s="35" t="s">
        <v>2564</v>
      </c>
      <c r="CQ61" s="35" t="s">
        <v>296</v>
      </c>
      <c r="CR61" s="36">
        <v>5</v>
      </c>
      <c r="CS61" s="36">
        <v>5</v>
      </c>
      <c r="CT61" s="36">
        <v>3</v>
      </c>
      <c r="CU61" s="36">
        <v>1</v>
      </c>
      <c r="CV61" s="36">
        <v>1</v>
      </c>
      <c r="CW61" s="36">
        <v>0</v>
      </c>
      <c r="CX61" s="36">
        <v>2</v>
      </c>
      <c r="CY61" s="36">
        <v>20</v>
      </c>
      <c r="CZ61" s="36">
        <v>40</v>
      </c>
      <c r="DA61" s="37">
        <v>80</v>
      </c>
      <c r="DB61" s="37">
        <v>100</v>
      </c>
      <c r="DC61" s="37">
        <v>60</v>
      </c>
      <c r="DD61" s="37">
        <v>10</v>
      </c>
      <c r="DE61" s="37">
        <v>10</v>
      </c>
      <c r="DF61" s="37">
        <v>0</v>
      </c>
      <c r="DG61" s="37">
        <v>20</v>
      </c>
      <c r="DH61" s="37">
        <v>400</v>
      </c>
      <c r="DI61" s="37">
        <v>500</v>
      </c>
      <c r="DJ61" s="38" t="s">
        <v>2565</v>
      </c>
      <c r="DK61" s="39" t="s">
        <v>1495</v>
      </c>
      <c r="DL61" s="40">
        <v>100</v>
      </c>
      <c r="DM61" s="39" t="s">
        <v>2566</v>
      </c>
      <c r="DN61" s="25" t="s">
        <v>183</v>
      </c>
      <c r="DO61" s="25" t="s">
        <v>183</v>
      </c>
      <c r="DP61" s="25" t="s">
        <v>183</v>
      </c>
      <c r="DQ61" s="25" t="s">
        <v>183</v>
      </c>
      <c r="DR61" s="25" t="s">
        <v>183</v>
      </c>
      <c r="DS61" s="25" t="s">
        <v>183</v>
      </c>
      <c r="DT61" s="25" t="s">
        <v>183</v>
      </c>
      <c r="DU61" s="25" t="s">
        <v>183</v>
      </c>
      <c r="DV61" s="25" t="s">
        <v>183</v>
      </c>
      <c r="DW61" s="25" t="s">
        <v>183</v>
      </c>
      <c r="DX61" s="25" t="s">
        <v>183</v>
      </c>
      <c r="DY61" s="25" t="s">
        <v>183</v>
      </c>
      <c r="DZ61" s="42" t="s">
        <v>2567</v>
      </c>
      <c r="EA61" s="42" t="s">
        <v>2568</v>
      </c>
      <c r="EB61" s="48" t="s">
        <v>239</v>
      </c>
      <c r="EC61" s="44" t="s">
        <v>2569</v>
      </c>
      <c r="ED61" s="45" t="s">
        <v>1500</v>
      </c>
      <c r="EE61" s="46">
        <v>15</v>
      </c>
      <c r="EF61" s="57" t="s">
        <v>1501</v>
      </c>
    </row>
    <row r="62" spans="1:136" ht="15" customHeight="1" x14ac:dyDescent="0.25">
      <c r="A62" s="16" t="s">
        <v>2516</v>
      </c>
      <c r="B62" s="17" t="s">
        <v>2502</v>
      </c>
      <c r="C62" s="17" t="s">
        <v>2517</v>
      </c>
      <c r="D62" s="18">
        <v>27</v>
      </c>
      <c r="E62" s="18">
        <v>2.6</v>
      </c>
      <c r="F62" s="18">
        <v>5.2</v>
      </c>
      <c r="G62" s="18">
        <v>2.2000000000000002</v>
      </c>
      <c r="H62" s="18">
        <v>0.3</v>
      </c>
      <c r="I62" s="18">
        <v>13</v>
      </c>
      <c r="J62" s="18">
        <v>0.5</v>
      </c>
      <c r="K62" s="18">
        <v>3</v>
      </c>
      <c r="L62" s="18">
        <v>59</v>
      </c>
      <c r="M62" s="18">
        <v>533</v>
      </c>
      <c r="N62" s="18">
        <v>4</v>
      </c>
      <c r="O62" s="18">
        <v>1.1000000000000001</v>
      </c>
      <c r="P62" s="18">
        <v>0.19</v>
      </c>
      <c r="Q62" s="18">
        <v>0.26200000000000001</v>
      </c>
      <c r="R62" s="18">
        <v>0.8</v>
      </c>
      <c r="S62" s="18">
        <v>20</v>
      </c>
      <c r="T62" s="18">
        <v>1</v>
      </c>
      <c r="U62" s="18">
        <v>4</v>
      </c>
      <c r="V62" s="18">
        <v>0.15</v>
      </c>
      <c r="W62" s="18">
        <v>7.0000000000000007E-2</v>
      </c>
      <c r="X62" s="18">
        <v>0.6</v>
      </c>
      <c r="Y62" s="18">
        <v>0.24</v>
      </c>
      <c r="Z62" s="18">
        <v>0</v>
      </c>
      <c r="AA62" s="18">
        <v>7</v>
      </c>
      <c r="AB62" s="18">
        <v>3618</v>
      </c>
      <c r="AC62" s="18" t="s">
        <v>2518</v>
      </c>
      <c r="AD62" s="18" t="s">
        <v>2519</v>
      </c>
      <c r="AE62" s="18" t="s">
        <v>1505</v>
      </c>
      <c r="AF62" s="18" t="s">
        <v>2520</v>
      </c>
      <c r="AG62" s="18" t="s">
        <v>2521</v>
      </c>
      <c r="AH62" s="18" t="s">
        <v>2522</v>
      </c>
      <c r="AI62" s="18" t="s">
        <v>226</v>
      </c>
      <c r="AJ62" s="18" t="s">
        <v>1509</v>
      </c>
      <c r="AK62" s="18" t="s">
        <v>157</v>
      </c>
      <c r="AL62" s="18" t="s">
        <v>314</v>
      </c>
      <c r="AM62" s="18">
        <v>0</v>
      </c>
      <c r="AN62" s="18" t="s">
        <v>506</v>
      </c>
      <c r="AO62" s="18" t="s">
        <v>1460</v>
      </c>
      <c r="AP62" s="18" t="s">
        <v>161</v>
      </c>
      <c r="AQ62" s="18">
        <v>0</v>
      </c>
      <c r="AR62" s="18">
        <v>18</v>
      </c>
      <c r="AS62" s="18">
        <v>32</v>
      </c>
      <c r="AT62" s="18">
        <v>8</v>
      </c>
      <c r="AU62" s="18">
        <v>37</v>
      </c>
      <c r="AV62" s="18">
        <v>1500</v>
      </c>
      <c r="AW62" s="18">
        <v>4000</v>
      </c>
      <c r="AX62" s="18">
        <v>1000</v>
      </c>
      <c r="AY62" s="18">
        <v>5000</v>
      </c>
      <c r="AZ62" s="18">
        <v>5</v>
      </c>
      <c r="BA62" s="18">
        <v>6.5</v>
      </c>
      <c r="BB62" s="18">
        <v>4.5</v>
      </c>
      <c r="BC62" s="18">
        <v>7</v>
      </c>
      <c r="BD62" s="18">
        <v>0</v>
      </c>
      <c r="BE62" s="18">
        <v>0</v>
      </c>
      <c r="BF62" s="18">
        <v>15</v>
      </c>
      <c r="BG62" s="18">
        <v>23</v>
      </c>
      <c r="BH62" s="18">
        <v>300</v>
      </c>
      <c r="BI62" s="18" t="s">
        <v>164</v>
      </c>
      <c r="BJ62" s="18" t="s">
        <v>163</v>
      </c>
      <c r="BK62" s="18" t="s">
        <v>165</v>
      </c>
      <c r="BL62" s="18" t="s">
        <v>163</v>
      </c>
      <c r="BM62" s="18" t="s">
        <v>166</v>
      </c>
      <c r="BN62" s="18" t="s">
        <v>166</v>
      </c>
      <c r="BO62" s="51" t="s">
        <v>835</v>
      </c>
      <c r="BP62" s="51" t="s">
        <v>835</v>
      </c>
      <c r="BQ62" s="51" t="s">
        <v>170</v>
      </c>
      <c r="BR62" s="51" t="s">
        <v>230</v>
      </c>
      <c r="BS62" s="51">
        <v>0</v>
      </c>
      <c r="BT62" s="51">
        <v>0</v>
      </c>
      <c r="BU62" s="51" t="s">
        <v>171</v>
      </c>
      <c r="BV62" s="51" t="s">
        <v>171</v>
      </c>
      <c r="BW62" s="51" t="s">
        <v>172</v>
      </c>
      <c r="BX62" s="51" t="s">
        <v>318</v>
      </c>
      <c r="BY62" s="51">
        <v>-1</v>
      </c>
      <c r="BZ62" s="51">
        <v>-1</v>
      </c>
      <c r="CA62" s="51">
        <v>0</v>
      </c>
      <c r="CB62" s="51" t="s">
        <v>342</v>
      </c>
      <c r="CC62" s="51" t="s">
        <v>551</v>
      </c>
      <c r="CD62" s="51">
        <v>0</v>
      </c>
      <c r="CE62" s="51">
        <v>0</v>
      </c>
      <c r="CF62" s="51">
        <v>0</v>
      </c>
      <c r="CG62" s="51">
        <v>0</v>
      </c>
      <c r="CH62" s="51">
        <v>0</v>
      </c>
      <c r="CI62" s="19">
        <v>10</v>
      </c>
      <c r="CJ62" s="19">
        <v>30</v>
      </c>
      <c r="CK62" s="19">
        <v>5</v>
      </c>
      <c r="CL62" s="19">
        <v>20</v>
      </c>
      <c r="CM62" s="17" t="s">
        <v>2523</v>
      </c>
      <c r="CN62" s="20">
        <v>3</v>
      </c>
      <c r="CO62" s="20">
        <v>20</v>
      </c>
      <c r="CP62" s="17" t="s">
        <v>2524</v>
      </c>
      <c r="CQ62" s="17" t="s">
        <v>2525</v>
      </c>
      <c r="CR62" s="21">
        <v>8</v>
      </c>
      <c r="CS62" s="21">
        <v>5</v>
      </c>
      <c r="CT62" s="21">
        <v>5</v>
      </c>
      <c r="CU62" s="21">
        <v>3</v>
      </c>
      <c r="CV62" s="21">
        <v>2</v>
      </c>
      <c r="CW62" s="21">
        <v>5</v>
      </c>
      <c r="CX62" s="21">
        <v>3</v>
      </c>
      <c r="CY62" s="21">
        <v>10</v>
      </c>
      <c r="CZ62" s="21">
        <v>5</v>
      </c>
      <c r="DA62" s="21">
        <v>120</v>
      </c>
      <c r="DB62" s="21">
        <v>100</v>
      </c>
      <c r="DC62" s="21">
        <v>100</v>
      </c>
      <c r="DD62" s="21">
        <v>20</v>
      </c>
      <c r="DE62" s="21">
        <v>15</v>
      </c>
      <c r="DF62" s="21">
        <v>50</v>
      </c>
      <c r="DG62" s="21">
        <v>30</v>
      </c>
      <c r="DH62" s="21">
        <v>300</v>
      </c>
      <c r="DI62" s="21">
        <v>100</v>
      </c>
      <c r="DJ62" s="17" t="s">
        <v>2526</v>
      </c>
      <c r="DK62" s="17" t="s">
        <v>180</v>
      </c>
      <c r="DL62" s="22">
        <v>75</v>
      </c>
      <c r="DM62" s="17" t="s">
        <v>2527</v>
      </c>
      <c r="DN62" s="23"/>
      <c r="DO62" s="23"/>
      <c r="DP62" s="23"/>
      <c r="DQ62" s="23"/>
      <c r="DR62" s="23"/>
      <c r="DS62" s="23"/>
      <c r="DT62" s="24" t="s">
        <v>182</v>
      </c>
      <c r="DU62" s="25" t="s">
        <v>183</v>
      </c>
      <c r="DV62" s="25" t="s">
        <v>183</v>
      </c>
      <c r="DW62" s="25" t="s">
        <v>183</v>
      </c>
      <c r="DX62" s="24" t="s">
        <v>182</v>
      </c>
      <c r="DY62" s="23"/>
      <c r="DZ62" s="17" t="s">
        <v>2528</v>
      </c>
      <c r="EA62" s="17" t="s">
        <v>2529</v>
      </c>
      <c r="EB62" s="43" t="s">
        <v>214</v>
      </c>
      <c r="EC62" s="17" t="s">
        <v>2530</v>
      </c>
      <c r="ED62" s="27" t="s">
        <v>371</v>
      </c>
      <c r="EE62" s="22">
        <v>4</v>
      </c>
      <c r="EF62" s="54" t="s">
        <v>304</v>
      </c>
    </row>
    <row r="63" spans="1:136" ht="15" customHeight="1" x14ac:dyDescent="0.25">
      <c r="A63" s="16" t="s">
        <v>1867</v>
      </c>
      <c r="B63" s="17" t="s">
        <v>1700</v>
      </c>
      <c r="C63" s="17" t="s">
        <v>1868</v>
      </c>
      <c r="D63" s="18">
        <v>21.7</v>
      </c>
      <c r="E63" s="18">
        <v>3.3</v>
      </c>
      <c r="F63" s="18">
        <v>0.3</v>
      </c>
      <c r="G63" s="18">
        <v>0.3</v>
      </c>
      <c r="H63" s="18">
        <v>2.4</v>
      </c>
      <c r="I63" s="18">
        <v>214</v>
      </c>
      <c r="J63" s="18">
        <v>1.56</v>
      </c>
      <c r="K63" s="18">
        <v>51</v>
      </c>
      <c r="L63" s="18">
        <v>63</v>
      </c>
      <c r="M63" s="18">
        <v>351</v>
      </c>
      <c r="N63" s="18">
        <v>47</v>
      </c>
      <c r="O63" s="18">
        <v>0.4</v>
      </c>
      <c r="P63" s="18">
        <v>0.30099999999999999</v>
      </c>
      <c r="Q63" s="18">
        <v>0.63200000000000001</v>
      </c>
      <c r="R63" s="18">
        <v>0.8</v>
      </c>
      <c r="S63" s="18">
        <v>426</v>
      </c>
      <c r="T63" s="18">
        <v>1.3</v>
      </c>
      <c r="U63" s="18">
        <v>83</v>
      </c>
      <c r="V63" s="18">
        <v>7.0000000000000007E-2</v>
      </c>
      <c r="W63" s="18">
        <v>0.06</v>
      </c>
      <c r="X63" s="18">
        <v>1.5</v>
      </c>
      <c r="Y63" s="18">
        <v>0.1</v>
      </c>
      <c r="Z63" s="18">
        <v>0</v>
      </c>
      <c r="AA63" s="18">
        <v>164</v>
      </c>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32">
        <v>0.2</v>
      </c>
      <c r="CJ63" s="32">
        <v>0.6</v>
      </c>
      <c r="CK63" s="32">
        <v>0.2</v>
      </c>
      <c r="CL63" s="32">
        <v>0.4</v>
      </c>
      <c r="CM63" s="33" t="s">
        <v>1709</v>
      </c>
      <c r="CN63" s="34">
        <v>5</v>
      </c>
      <c r="CO63" s="34">
        <v>20</v>
      </c>
      <c r="CP63" s="35" t="s">
        <v>1869</v>
      </c>
      <c r="CQ63" s="35" t="s">
        <v>1870</v>
      </c>
      <c r="CR63" s="36">
        <v>3</v>
      </c>
      <c r="CS63" s="36">
        <v>2</v>
      </c>
      <c r="CT63" s="36">
        <v>4</v>
      </c>
      <c r="CU63" s="36">
        <v>2</v>
      </c>
      <c r="CV63" s="36">
        <v>2</v>
      </c>
      <c r="CW63" s="36">
        <v>0</v>
      </c>
      <c r="CX63" s="36">
        <v>3</v>
      </c>
      <c r="CY63" s="36">
        <v>12</v>
      </c>
      <c r="CZ63" s="36">
        <v>5</v>
      </c>
      <c r="DA63" s="37">
        <v>100</v>
      </c>
      <c r="DB63" s="37">
        <v>60</v>
      </c>
      <c r="DC63" s="37">
        <v>130</v>
      </c>
      <c r="DD63" s="37">
        <v>20</v>
      </c>
      <c r="DE63" s="37">
        <v>15</v>
      </c>
      <c r="DF63" s="37">
        <v>0</v>
      </c>
      <c r="DG63" s="37">
        <v>30</v>
      </c>
      <c r="DH63" s="37">
        <v>280</v>
      </c>
      <c r="DI63" s="37">
        <v>80</v>
      </c>
      <c r="DJ63" s="38" t="s">
        <v>1871</v>
      </c>
      <c r="DK63" s="39" t="s">
        <v>180</v>
      </c>
      <c r="DL63" s="40">
        <v>75</v>
      </c>
      <c r="DM63" s="39" t="s">
        <v>1872</v>
      </c>
      <c r="DN63" s="41"/>
      <c r="DO63" s="24" t="s">
        <v>182</v>
      </c>
      <c r="DP63" s="25" t="s">
        <v>183</v>
      </c>
      <c r="DQ63" s="25" t="s">
        <v>183</v>
      </c>
      <c r="DR63" s="25" t="s">
        <v>183</v>
      </c>
      <c r="DS63" s="24" t="s">
        <v>182</v>
      </c>
      <c r="DT63" s="41"/>
      <c r="DU63" s="24" t="s">
        <v>182</v>
      </c>
      <c r="DV63" s="25" t="s">
        <v>183</v>
      </c>
      <c r="DW63" s="25" t="s">
        <v>183</v>
      </c>
      <c r="DX63" s="25" t="s">
        <v>183</v>
      </c>
      <c r="DY63" s="24" t="s">
        <v>182</v>
      </c>
      <c r="DZ63" s="42" t="s">
        <v>1873</v>
      </c>
      <c r="EA63" s="42" t="s">
        <v>1874</v>
      </c>
      <c r="EB63" s="58" t="s">
        <v>1815</v>
      </c>
      <c r="EC63" s="44" t="s">
        <v>1816</v>
      </c>
      <c r="ED63" s="45" t="s">
        <v>1875</v>
      </c>
      <c r="EE63" s="46">
        <v>0</v>
      </c>
      <c r="EF63" s="56" t="s">
        <v>497</v>
      </c>
    </row>
    <row r="64" spans="1:136" ht="15" customHeight="1" x14ac:dyDescent="0.25">
      <c r="A64" s="16" t="s">
        <v>592</v>
      </c>
      <c r="B64" s="29" t="s">
        <v>409</v>
      </c>
      <c r="C64" s="29" t="s">
        <v>593</v>
      </c>
      <c r="D64" s="30">
        <v>27.5</v>
      </c>
      <c r="E64" s="30">
        <v>1.1000000000000001</v>
      </c>
      <c r="F64" s="30">
        <v>0.4</v>
      </c>
      <c r="G64" s="30">
        <v>4.4000000000000004</v>
      </c>
      <c r="H64" s="30">
        <v>1.1000000000000001</v>
      </c>
      <c r="I64" s="30">
        <v>7</v>
      </c>
      <c r="J64" s="30">
        <v>0.28000000000000003</v>
      </c>
      <c r="K64" s="30">
        <v>10</v>
      </c>
      <c r="L64" s="30">
        <v>31</v>
      </c>
      <c r="M64" s="30">
        <v>240</v>
      </c>
      <c r="N64" s="30">
        <v>3</v>
      </c>
      <c r="O64" s="30">
        <v>0.13</v>
      </c>
      <c r="P64" s="30">
        <v>5.3999999999999999E-2</v>
      </c>
      <c r="Q64" s="30">
        <v>6.7000000000000004E-2</v>
      </c>
      <c r="R64" s="30">
        <v>0.8</v>
      </c>
      <c r="S64" s="30">
        <v>111</v>
      </c>
      <c r="T64" s="30">
        <v>4.2</v>
      </c>
      <c r="U64" s="30">
        <v>240</v>
      </c>
      <c r="V64" s="30">
        <v>0.04</v>
      </c>
      <c r="W64" s="30">
        <v>0.11</v>
      </c>
      <c r="X64" s="30">
        <v>0</v>
      </c>
      <c r="Y64" s="30">
        <v>0.06</v>
      </c>
      <c r="Z64" s="30">
        <v>0</v>
      </c>
      <c r="AA64" s="30">
        <v>97</v>
      </c>
      <c r="AB64" s="31">
        <v>618</v>
      </c>
      <c r="AC64" s="31" t="s">
        <v>578</v>
      </c>
      <c r="AD64" s="31" t="s">
        <v>221</v>
      </c>
      <c r="AE64" s="31" t="s">
        <v>579</v>
      </c>
      <c r="AF64" s="31" t="s">
        <v>580</v>
      </c>
      <c r="AG64" s="31" t="s">
        <v>581</v>
      </c>
      <c r="AH64" s="31" t="s">
        <v>582</v>
      </c>
      <c r="AI64" s="31" t="s">
        <v>226</v>
      </c>
      <c r="AJ64" s="31" t="s">
        <v>156</v>
      </c>
      <c r="AK64" s="31" t="s">
        <v>157</v>
      </c>
      <c r="AL64" s="31" t="s">
        <v>282</v>
      </c>
      <c r="AM64" s="31" t="s">
        <v>283</v>
      </c>
      <c r="AN64" s="31"/>
      <c r="AO64" s="31" t="s">
        <v>228</v>
      </c>
      <c r="AP64" s="31" t="s">
        <v>161</v>
      </c>
      <c r="AQ64" s="31" t="s">
        <v>162</v>
      </c>
      <c r="AR64" s="31">
        <v>17</v>
      </c>
      <c r="AS64" s="31">
        <v>30</v>
      </c>
      <c r="AT64" s="31">
        <v>8</v>
      </c>
      <c r="AU64" s="31">
        <v>35</v>
      </c>
      <c r="AV64" s="31">
        <v>600</v>
      </c>
      <c r="AW64" s="31">
        <v>1250</v>
      </c>
      <c r="AX64" s="31">
        <v>500</v>
      </c>
      <c r="AY64" s="31">
        <v>1700</v>
      </c>
      <c r="AZ64" s="31">
        <v>5.5</v>
      </c>
      <c r="BA64" s="31">
        <v>6.8</v>
      </c>
      <c r="BB64" s="31">
        <v>4.5</v>
      </c>
      <c r="BC64" s="31">
        <v>7</v>
      </c>
      <c r="BD64" s="31"/>
      <c r="BE64" s="31"/>
      <c r="BF64" s="31">
        <v>50</v>
      </c>
      <c r="BG64" s="31">
        <v>50</v>
      </c>
      <c r="BH64" s="31">
        <v>3000</v>
      </c>
      <c r="BI64" s="31" t="s">
        <v>163</v>
      </c>
      <c r="BJ64" s="31" t="s">
        <v>163</v>
      </c>
      <c r="BK64" s="31" t="s">
        <v>163</v>
      </c>
      <c r="BL64" s="31" t="s">
        <v>165</v>
      </c>
      <c r="BM64" s="31" t="s">
        <v>166</v>
      </c>
      <c r="BN64" s="31" t="s">
        <v>166</v>
      </c>
      <c r="BO64" s="31" t="s">
        <v>167</v>
      </c>
      <c r="BP64" s="31" t="s">
        <v>250</v>
      </c>
      <c r="BQ64" s="31" t="s">
        <v>170</v>
      </c>
      <c r="BR64" s="31" t="s">
        <v>170</v>
      </c>
      <c r="BS64" s="31"/>
      <c r="BT64" s="31"/>
      <c r="BU64" s="31" t="s">
        <v>171</v>
      </c>
      <c r="BV64" s="31" t="s">
        <v>231</v>
      </c>
      <c r="BW64" s="31" t="s">
        <v>172</v>
      </c>
      <c r="BX64" s="31" t="s">
        <v>172</v>
      </c>
      <c r="BY64" s="31"/>
      <c r="BZ64" s="31"/>
      <c r="CA64" s="31" t="s">
        <v>508</v>
      </c>
      <c r="CB64" s="31" t="s">
        <v>583</v>
      </c>
      <c r="CC64" s="31"/>
      <c r="CD64" s="31"/>
      <c r="CE64" s="31"/>
      <c r="CF64" s="31" t="s">
        <v>584</v>
      </c>
      <c r="CG64" s="31">
        <v>60</v>
      </c>
      <c r="CH64" s="31">
        <v>180</v>
      </c>
      <c r="CI64" s="32">
        <v>0.5</v>
      </c>
      <c r="CJ64" s="32">
        <v>1.5</v>
      </c>
      <c r="CK64" s="32">
        <v>0.4</v>
      </c>
      <c r="CL64" s="32">
        <v>0.8</v>
      </c>
      <c r="CM64" s="33" t="s">
        <v>585</v>
      </c>
      <c r="CN64" s="34">
        <v>8</v>
      </c>
      <c r="CO64" s="34">
        <v>80</v>
      </c>
      <c r="CP64" s="35" t="s">
        <v>594</v>
      </c>
      <c r="CQ64" s="35" t="s">
        <v>209</v>
      </c>
      <c r="CR64" s="36">
        <v>5</v>
      </c>
      <c r="CS64" s="36">
        <v>8</v>
      </c>
      <c r="CT64" s="36">
        <v>6</v>
      </c>
      <c r="CU64" s="36">
        <v>4</v>
      </c>
      <c r="CV64" s="36">
        <v>6</v>
      </c>
      <c r="CW64" s="36">
        <v>5</v>
      </c>
      <c r="CX64" s="36">
        <v>5</v>
      </c>
      <c r="CY64" s="36">
        <v>25</v>
      </c>
      <c r="CZ64" s="36">
        <v>8</v>
      </c>
      <c r="DA64" s="37">
        <v>140</v>
      </c>
      <c r="DB64" s="37">
        <v>180</v>
      </c>
      <c r="DC64" s="37">
        <v>200</v>
      </c>
      <c r="DD64" s="37">
        <v>30</v>
      </c>
      <c r="DE64" s="37">
        <v>50</v>
      </c>
      <c r="DF64" s="37">
        <v>60</v>
      </c>
      <c r="DG64" s="37">
        <v>50</v>
      </c>
      <c r="DH64" s="37">
        <v>500</v>
      </c>
      <c r="DI64" s="37">
        <v>120</v>
      </c>
      <c r="DJ64" s="38" t="s">
        <v>595</v>
      </c>
      <c r="DK64" s="39" t="s">
        <v>180</v>
      </c>
      <c r="DL64" s="40">
        <v>75</v>
      </c>
      <c r="DM64" s="39" t="s">
        <v>596</v>
      </c>
      <c r="DN64" s="25" t="s">
        <v>183</v>
      </c>
      <c r="DO64" s="25" t="s">
        <v>183</v>
      </c>
      <c r="DP64" s="25" t="s">
        <v>183</v>
      </c>
      <c r="DQ64" s="24" t="s">
        <v>182</v>
      </c>
      <c r="DR64" s="24" t="s">
        <v>182</v>
      </c>
      <c r="DS64" s="41"/>
      <c r="DT64" s="41"/>
      <c r="DU64" s="41"/>
      <c r="DV64" s="41"/>
      <c r="DW64" s="41"/>
      <c r="DX64" s="41"/>
      <c r="DY64" s="24" t="s">
        <v>182</v>
      </c>
      <c r="DZ64" s="42" t="s">
        <v>597</v>
      </c>
      <c r="EA64" s="42" t="s">
        <v>598</v>
      </c>
      <c r="EB64" s="43" t="s">
        <v>214</v>
      </c>
      <c r="EC64" s="44" t="s">
        <v>599</v>
      </c>
      <c r="ED64" s="45" t="s">
        <v>496</v>
      </c>
      <c r="EE64" s="46">
        <v>3</v>
      </c>
      <c r="EF64" s="47" t="s">
        <v>217</v>
      </c>
    </row>
    <row r="65" spans="1:136" ht="15" customHeight="1" x14ac:dyDescent="0.25">
      <c r="A65" s="16" t="s">
        <v>2220</v>
      </c>
      <c r="B65" s="17" t="s">
        <v>2221</v>
      </c>
      <c r="C65" s="17" t="s">
        <v>2220</v>
      </c>
      <c r="D65" s="18">
        <v>65</v>
      </c>
      <c r="E65" s="18">
        <v>4.24</v>
      </c>
      <c r="F65" s="18">
        <v>13.39</v>
      </c>
      <c r="G65" s="18">
        <v>1.3</v>
      </c>
      <c r="H65" s="18">
        <v>0.2</v>
      </c>
      <c r="I65" s="18">
        <v>6</v>
      </c>
      <c r="J65" s="18">
        <v>2.2200000000000002</v>
      </c>
      <c r="K65" s="18">
        <v>25</v>
      </c>
      <c r="L65" s="18">
        <v>98</v>
      </c>
      <c r="M65" s="18">
        <v>454</v>
      </c>
      <c r="N65" s="18">
        <v>26</v>
      </c>
      <c r="O65" s="18">
        <v>0.63</v>
      </c>
      <c r="P65" s="18">
        <v>0.121</v>
      </c>
      <c r="Q65" s="18">
        <v>0.17399999999999999</v>
      </c>
      <c r="R65" s="18">
        <v>0.7</v>
      </c>
      <c r="S65" s="18">
        <v>19</v>
      </c>
      <c r="T65" s="18">
        <v>0</v>
      </c>
      <c r="U65" s="18">
        <v>1.9</v>
      </c>
      <c r="V65" s="18">
        <v>0.14299999999999999</v>
      </c>
      <c r="W65" s="18">
        <v>5.8999999999999997E-2</v>
      </c>
      <c r="X65" s="18">
        <v>1.6930000000000001</v>
      </c>
      <c r="Y65" s="18">
        <v>0.26600000000000001</v>
      </c>
      <c r="Z65" s="18">
        <v>0</v>
      </c>
      <c r="AA65" s="18">
        <v>338</v>
      </c>
      <c r="AB65" s="18">
        <v>2335</v>
      </c>
      <c r="AC65" s="18" t="s">
        <v>2222</v>
      </c>
      <c r="AD65" s="18">
        <v>0</v>
      </c>
      <c r="AE65" s="18" t="s">
        <v>2223</v>
      </c>
      <c r="AF65" s="18">
        <v>0</v>
      </c>
      <c r="AG65" s="18" t="s">
        <v>2220</v>
      </c>
      <c r="AH65" s="18" t="s">
        <v>2220</v>
      </c>
      <c r="AI65" s="18" t="s">
        <v>226</v>
      </c>
      <c r="AJ65" s="18" t="s">
        <v>156</v>
      </c>
      <c r="AK65" s="18" t="s">
        <v>157</v>
      </c>
      <c r="AL65" s="18" t="s">
        <v>314</v>
      </c>
      <c r="AM65" s="18">
        <v>0</v>
      </c>
      <c r="AN65" s="18" t="s">
        <v>160</v>
      </c>
      <c r="AO65" s="18" t="s">
        <v>2224</v>
      </c>
      <c r="AP65" s="18" t="s">
        <v>316</v>
      </c>
      <c r="AQ65" s="18">
        <v>0</v>
      </c>
      <c r="AR65" s="18">
        <v>23</v>
      </c>
      <c r="AS65" s="18">
        <v>29</v>
      </c>
      <c r="AT65" s="18">
        <v>17</v>
      </c>
      <c r="AU65" s="18">
        <v>34</v>
      </c>
      <c r="AV65" s="18">
        <v>1500</v>
      </c>
      <c r="AW65" s="18">
        <v>2000</v>
      </c>
      <c r="AX65" s="18">
        <v>700</v>
      </c>
      <c r="AY65" s="18">
        <v>4000</v>
      </c>
      <c r="AZ65" s="18">
        <v>5.5</v>
      </c>
      <c r="BA65" s="18">
        <v>6.5</v>
      </c>
      <c r="BB65" s="18">
        <v>5</v>
      </c>
      <c r="BC65" s="18">
        <v>8</v>
      </c>
      <c r="BD65" s="18">
        <v>0</v>
      </c>
      <c r="BE65" s="18">
        <v>0</v>
      </c>
      <c r="BF65" s="18">
        <v>15</v>
      </c>
      <c r="BG65" s="18">
        <v>15</v>
      </c>
      <c r="BH65" s="18">
        <v>1000</v>
      </c>
      <c r="BI65" s="18" t="s">
        <v>165</v>
      </c>
      <c r="BJ65" s="18" t="s">
        <v>317</v>
      </c>
      <c r="BK65" s="18" t="s">
        <v>164</v>
      </c>
      <c r="BL65" s="18" t="s">
        <v>317</v>
      </c>
      <c r="BM65" s="18" t="s">
        <v>166</v>
      </c>
      <c r="BN65" s="18" t="s">
        <v>201</v>
      </c>
      <c r="BO65" s="51" t="s">
        <v>202</v>
      </c>
      <c r="BP65" s="51" t="s">
        <v>203</v>
      </c>
      <c r="BQ65" s="51" t="s">
        <v>169</v>
      </c>
      <c r="BR65" s="51" t="s">
        <v>170</v>
      </c>
      <c r="BS65" s="51">
        <v>0</v>
      </c>
      <c r="BT65" s="51">
        <v>0</v>
      </c>
      <c r="BU65" s="51" t="s">
        <v>171</v>
      </c>
      <c r="BV65" s="51" t="s">
        <v>171</v>
      </c>
      <c r="BW65" s="51" t="s">
        <v>172</v>
      </c>
      <c r="BX65" s="51" t="s">
        <v>172</v>
      </c>
      <c r="BY65" s="51">
        <v>5</v>
      </c>
      <c r="BZ65" s="51">
        <v>5</v>
      </c>
      <c r="CA65" s="51" t="s">
        <v>291</v>
      </c>
      <c r="CB65" s="51" t="s">
        <v>2225</v>
      </c>
      <c r="CC65" s="51">
        <v>0</v>
      </c>
      <c r="CD65" s="51">
        <v>0</v>
      </c>
      <c r="CE65" s="51">
        <v>0</v>
      </c>
      <c r="CF65" s="51">
        <v>0</v>
      </c>
      <c r="CG65" s="51">
        <v>300</v>
      </c>
      <c r="CH65" s="51">
        <v>365</v>
      </c>
      <c r="CI65" s="32">
        <v>0.9</v>
      </c>
      <c r="CJ65" s="32">
        <v>1.8</v>
      </c>
      <c r="CK65" s="32">
        <v>0.6</v>
      </c>
      <c r="CL65" s="32">
        <v>1.2</v>
      </c>
      <c r="CM65" s="33" t="s">
        <v>2226</v>
      </c>
      <c r="CN65" s="34">
        <v>5</v>
      </c>
      <c r="CO65" s="34">
        <v>20</v>
      </c>
      <c r="CP65" s="35" t="s">
        <v>2227</v>
      </c>
      <c r="CQ65" s="35" t="s">
        <v>296</v>
      </c>
      <c r="CR65" s="36">
        <v>6</v>
      </c>
      <c r="CS65" s="36">
        <v>5</v>
      </c>
      <c r="CT65" s="36">
        <v>8</v>
      </c>
      <c r="CU65" s="36">
        <v>2</v>
      </c>
      <c r="CV65" s="36">
        <v>2</v>
      </c>
      <c r="CW65" s="36">
        <v>0</v>
      </c>
      <c r="CX65" s="36">
        <v>3</v>
      </c>
      <c r="CY65" s="36">
        <v>12</v>
      </c>
      <c r="CZ65" s="36">
        <v>15</v>
      </c>
      <c r="DA65" s="37">
        <v>150</v>
      </c>
      <c r="DB65" s="37">
        <v>120</v>
      </c>
      <c r="DC65" s="37">
        <v>250</v>
      </c>
      <c r="DD65" s="37">
        <v>20</v>
      </c>
      <c r="DE65" s="37">
        <v>15</v>
      </c>
      <c r="DF65" s="37">
        <v>0</v>
      </c>
      <c r="DG65" s="37">
        <v>30</v>
      </c>
      <c r="DH65" s="37">
        <v>350</v>
      </c>
      <c r="DI65" s="37">
        <v>300</v>
      </c>
      <c r="DJ65" s="38" t="s">
        <v>2228</v>
      </c>
      <c r="DK65" s="39" t="s">
        <v>180</v>
      </c>
      <c r="DL65" s="40">
        <v>75</v>
      </c>
      <c r="DM65" s="39" t="s">
        <v>2229</v>
      </c>
      <c r="DN65" s="41"/>
      <c r="DO65" s="41"/>
      <c r="DP65" s="24" t="s">
        <v>182</v>
      </c>
      <c r="DQ65" s="25" t="s">
        <v>183</v>
      </c>
      <c r="DR65" s="25" t="s">
        <v>183</v>
      </c>
      <c r="DS65" s="25" t="s">
        <v>183</v>
      </c>
      <c r="DT65" s="25" t="s">
        <v>183</v>
      </c>
      <c r="DU65" s="25" t="s">
        <v>183</v>
      </c>
      <c r="DV65" s="24" t="s">
        <v>182</v>
      </c>
      <c r="DW65" s="41"/>
      <c r="DX65" s="41"/>
      <c r="DY65" s="41"/>
      <c r="DZ65" s="42" t="s">
        <v>2230</v>
      </c>
      <c r="EA65" s="42" t="s">
        <v>2231</v>
      </c>
      <c r="EB65" s="26" t="s">
        <v>186</v>
      </c>
      <c r="EC65" s="44" t="s">
        <v>2232</v>
      </c>
      <c r="ED65" s="45" t="s">
        <v>2030</v>
      </c>
      <c r="EE65" s="46">
        <v>10</v>
      </c>
      <c r="EF65" s="53" t="s">
        <v>757</v>
      </c>
    </row>
    <row r="66" spans="1:136" ht="15" customHeight="1" x14ac:dyDescent="0.25">
      <c r="A66" s="16" t="s">
        <v>2146</v>
      </c>
      <c r="B66" s="17" t="s">
        <v>2131</v>
      </c>
      <c r="C66" s="17" t="s">
        <v>2147</v>
      </c>
      <c r="D66" s="18">
        <v>26.8</v>
      </c>
      <c r="E66" s="18">
        <v>3.1</v>
      </c>
      <c r="F66" s="18">
        <v>0.2</v>
      </c>
      <c r="G66" s="18">
        <v>1.4</v>
      </c>
      <c r="H66" s="18">
        <v>3.7</v>
      </c>
      <c r="I66" s="18">
        <v>82</v>
      </c>
      <c r="J66" s="18">
        <v>1.1000000000000001</v>
      </c>
      <c r="K66" s="18">
        <v>48</v>
      </c>
      <c r="L66" s="18">
        <v>63</v>
      </c>
      <c r="M66" s="18">
        <v>280</v>
      </c>
      <c r="N66" s="18">
        <v>2</v>
      </c>
      <c r="O66" s="18">
        <v>0.6</v>
      </c>
      <c r="P66" s="18"/>
      <c r="Q66" s="18"/>
      <c r="R66" s="18">
        <v>0.7</v>
      </c>
      <c r="S66" s="18">
        <v>17</v>
      </c>
      <c r="T66" s="18">
        <v>0.27</v>
      </c>
      <c r="U66" s="18">
        <v>34</v>
      </c>
      <c r="V66" s="18">
        <v>0.09</v>
      </c>
      <c r="W66" s="18">
        <v>0.13</v>
      </c>
      <c r="X66" s="18">
        <v>1.2</v>
      </c>
      <c r="Y66" s="18">
        <v>0.22</v>
      </c>
      <c r="Z66" s="18">
        <v>0</v>
      </c>
      <c r="AA66" s="18">
        <v>60</v>
      </c>
      <c r="AB66" s="18">
        <v>289</v>
      </c>
      <c r="AC66" s="18" t="s">
        <v>2148</v>
      </c>
      <c r="AD66" s="18" t="s">
        <v>2149</v>
      </c>
      <c r="AE66" s="18" t="s">
        <v>279</v>
      </c>
      <c r="AF66" s="18" t="s">
        <v>2150</v>
      </c>
      <c r="AG66" s="18" t="s">
        <v>2151</v>
      </c>
      <c r="AH66" s="18" t="s">
        <v>2152</v>
      </c>
      <c r="AI66" s="18" t="s">
        <v>155</v>
      </c>
      <c r="AJ66" s="18" t="s">
        <v>156</v>
      </c>
      <c r="AK66" s="18" t="s">
        <v>157</v>
      </c>
      <c r="AL66" s="18" t="s">
        <v>282</v>
      </c>
      <c r="AM66" s="18" t="s">
        <v>283</v>
      </c>
      <c r="AN66" s="18" t="s">
        <v>160</v>
      </c>
      <c r="AO66" s="18" t="s">
        <v>161</v>
      </c>
      <c r="AP66" s="18" t="s">
        <v>161</v>
      </c>
      <c r="AQ66" s="18" t="s">
        <v>162</v>
      </c>
      <c r="AR66" s="18">
        <v>20</v>
      </c>
      <c r="AS66" s="18">
        <v>30</v>
      </c>
      <c r="AT66" s="18">
        <v>12</v>
      </c>
      <c r="AU66" s="18">
        <v>35</v>
      </c>
      <c r="AV66" s="18">
        <v>600</v>
      </c>
      <c r="AW66" s="18">
        <v>1200</v>
      </c>
      <c r="AX66" s="18">
        <v>300</v>
      </c>
      <c r="AY66" s="18">
        <v>2500</v>
      </c>
      <c r="AZ66" s="18">
        <v>5.5</v>
      </c>
      <c r="BA66" s="18">
        <v>7</v>
      </c>
      <c r="BB66" s="18">
        <v>4.5</v>
      </c>
      <c r="BC66" s="18">
        <v>8.6999999999999993</v>
      </c>
      <c r="BD66" s="18"/>
      <c r="BE66" s="18"/>
      <c r="BF66" s="18">
        <v>35</v>
      </c>
      <c r="BG66" s="18">
        <v>40</v>
      </c>
      <c r="BH66" s="18">
        <v>1000</v>
      </c>
      <c r="BI66" s="18" t="s">
        <v>164</v>
      </c>
      <c r="BJ66" s="18" t="s">
        <v>164</v>
      </c>
      <c r="BK66" s="18" t="s">
        <v>163</v>
      </c>
      <c r="BL66" s="18" t="s">
        <v>165</v>
      </c>
      <c r="BM66" s="18" t="s">
        <v>201</v>
      </c>
      <c r="BN66" s="18" t="s">
        <v>201</v>
      </c>
      <c r="BO66" s="18" t="s">
        <v>567</v>
      </c>
      <c r="BP66" s="18" t="s">
        <v>203</v>
      </c>
      <c r="BQ66" s="18" t="s">
        <v>169</v>
      </c>
      <c r="BR66" s="18" t="s">
        <v>170</v>
      </c>
      <c r="BS66" s="18"/>
      <c r="BT66" s="18"/>
      <c r="BU66" s="18" t="s">
        <v>171</v>
      </c>
      <c r="BV66" s="18" t="s">
        <v>171</v>
      </c>
      <c r="BW66" s="18" t="s">
        <v>172</v>
      </c>
      <c r="BX66" s="18" t="s">
        <v>172</v>
      </c>
      <c r="BY66" s="18"/>
      <c r="BZ66" s="18"/>
      <c r="CA66" s="18" t="s">
        <v>291</v>
      </c>
      <c r="CB66" s="18" t="s">
        <v>651</v>
      </c>
      <c r="CC66" s="18"/>
      <c r="CD66" s="18"/>
      <c r="CE66" s="18"/>
      <c r="CF66" s="18"/>
      <c r="CG66" s="18">
        <v>50</v>
      </c>
      <c r="CH66" s="18">
        <v>180</v>
      </c>
      <c r="CI66" s="19">
        <v>0.9</v>
      </c>
      <c r="CJ66" s="19">
        <v>2.5</v>
      </c>
      <c r="CK66" s="19">
        <v>0.4</v>
      </c>
      <c r="CL66" s="19">
        <v>0.8</v>
      </c>
      <c r="CM66" s="17" t="s">
        <v>294</v>
      </c>
      <c r="CN66" s="20">
        <v>5</v>
      </c>
      <c r="CO66" s="20">
        <v>20</v>
      </c>
      <c r="CP66" s="17" t="s">
        <v>2153</v>
      </c>
      <c r="CQ66" s="17" t="s">
        <v>345</v>
      </c>
      <c r="CR66" s="21">
        <v>5</v>
      </c>
      <c r="CS66" s="21">
        <v>3</v>
      </c>
      <c r="CT66" s="21">
        <v>8</v>
      </c>
      <c r="CU66" s="21">
        <v>3</v>
      </c>
      <c r="CV66" s="21">
        <v>4</v>
      </c>
      <c r="CW66" s="21">
        <v>2</v>
      </c>
      <c r="CX66" s="21">
        <v>4</v>
      </c>
      <c r="CY66" s="21">
        <v>20</v>
      </c>
      <c r="CZ66" s="21">
        <v>6</v>
      </c>
      <c r="DA66" s="21">
        <v>130</v>
      </c>
      <c r="DB66" s="21">
        <v>80</v>
      </c>
      <c r="DC66" s="21">
        <v>250</v>
      </c>
      <c r="DD66" s="21">
        <v>25</v>
      </c>
      <c r="DE66" s="21">
        <v>35</v>
      </c>
      <c r="DF66" s="21">
        <v>20</v>
      </c>
      <c r="DG66" s="21">
        <v>40</v>
      </c>
      <c r="DH66" s="21">
        <v>450</v>
      </c>
      <c r="DI66" s="21">
        <v>100</v>
      </c>
      <c r="DJ66" s="17" t="s">
        <v>2154</v>
      </c>
      <c r="DK66" s="17" t="s">
        <v>180</v>
      </c>
      <c r="DL66" s="22">
        <v>75</v>
      </c>
      <c r="DM66" s="17" t="s">
        <v>2155</v>
      </c>
      <c r="DN66" s="25" t="s">
        <v>183</v>
      </c>
      <c r="DO66" s="25" t="s">
        <v>183</v>
      </c>
      <c r="DP66" s="25" t="s">
        <v>183</v>
      </c>
      <c r="DQ66" s="24" t="s">
        <v>182</v>
      </c>
      <c r="DR66" s="23"/>
      <c r="DS66" s="23"/>
      <c r="DT66" s="23"/>
      <c r="DU66" s="23"/>
      <c r="DV66" s="23"/>
      <c r="DW66" s="23"/>
      <c r="DX66" s="24" t="s">
        <v>182</v>
      </c>
      <c r="DY66" s="25" t="s">
        <v>183</v>
      </c>
      <c r="DZ66" s="17" t="s">
        <v>2156</v>
      </c>
      <c r="EA66" s="17" t="s">
        <v>2157</v>
      </c>
      <c r="EB66" s="43" t="s">
        <v>214</v>
      </c>
      <c r="EC66" s="17" t="s">
        <v>2158</v>
      </c>
      <c r="ED66" s="27" t="s">
        <v>1067</v>
      </c>
      <c r="EE66" s="22">
        <v>3</v>
      </c>
      <c r="EF66" s="55" t="s">
        <v>497</v>
      </c>
    </row>
    <row r="67" spans="1:136" ht="15" customHeight="1" x14ac:dyDescent="0.25">
      <c r="A67" s="16" t="s">
        <v>2626</v>
      </c>
      <c r="B67" s="17" t="s">
        <v>2580</v>
      </c>
      <c r="C67" s="17" t="s">
        <v>2627</v>
      </c>
      <c r="D67" s="18">
        <v>67</v>
      </c>
      <c r="E67" s="18">
        <v>1.34</v>
      </c>
      <c r="F67" s="18">
        <v>16.3</v>
      </c>
      <c r="G67" s="18">
        <v>2.5</v>
      </c>
      <c r="H67" s="18">
        <v>0.1</v>
      </c>
      <c r="I67" s="18">
        <v>26</v>
      </c>
      <c r="J67" s="18">
        <v>0.44</v>
      </c>
      <c r="K67" s="18">
        <v>12</v>
      </c>
      <c r="L67" s="18">
        <v>34</v>
      </c>
      <c r="M67" s="18">
        <v>418</v>
      </c>
      <c r="N67" s="18">
        <v>13</v>
      </c>
      <c r="O67" s="18">
        <v>0.27</v>
      </c>
      <c r="P67" s="18">
        <v>0.11</v>
      </c>
      <c r="Q67" s="18">
        <v>0.24199999999999999</v>
      </c>
      <c r="R67" s="18">
        <v>0.7</v>
      </c>
      <c r="S67" s="18">
        <v>0</v>
      </c>
      <c r="T67" s="18">
        <v>0.21</v>
      </c>
      <c r="U67" s="18">
        <v>2.6</v>
      </c>
      <c r="V67" s="18">
        <v>0.10199999999999999</v>
      </c>
      <c r="W67" s="18">
        <v>1.9E-2</v>
      </c>
      <c r="X67" s="18">
        <v>0.48099999999999998</v>
      </c>
      <c r="Y67" s="18">
        <v>0.17899999999999999</v>
      </c>
      <c r="Z67" s="18">
        <v>0</v>
      </c>
      <c r="AA67" s="18">
        <v>14</v>
      </c>
      <c r="AB67" s="18">
        <v>936</v>
      </c>
      <c r="AC67" s="18" t="s">
        <v>2628</v>
      </c>
      <c r="AD67" s="18" t="s">
        <v>221</v>
      </c>
      <c r="AE67" s="18" t="s">
        <v>2629</v>
      </c>
      <c r="AF67" s="18" t="s">
        <v>2630</v>
      </c>
      <c r="AG67" s="18" t="s">
        <v>2631</v>
      </c>
      <c r="AH67" s="18" t="s">
        <v>2632</v>
      </c>
      <c r="AI67" s="18" t="s">
        <v>226</v>
      </c>
      <c r="AJ67" s="18" t="s">
        <v>670</v>
      </c>
      <c r="AK67" s="18" t="s">
        <v>505</v>
      </c>
      <c r="AL67" s="18" t="s">
        <v>314</v>
      </c>
      <c r="AM67" s="18">
        <v>0</v>
      </c>
      <c r="AN67" s="18" t="s">
        <v>483</v>
      </c>
      <c r="AO67" s="18" t="s">
        <v>2633</v>
      </c>
      <c r="AP67" s="18" t="s">
        <v>316</v>
      </c>
      <c r="AQ67" s="18" t="s">
        <v>287</v>
      </c>
      <c r="AR67" s="18">
        <v>20</v>
      </c>
      <c r="AS67" s="18">
        <v>32</v>
      </c>
      <c r="AT67" s="18">
        <v>14</v>
      </c>
      <c r="AU67" s="18">
        <v>40</v>
      </c>
      <c r="AV67" s="18">
        <v>1200</v>
      </c>
      <c r="AW67" s="18">
        <v>4000</v>
      </c>
      <c r="AX67" s="18">
        <v>700</v>
      </c>
      <c r="AY67" s="18">
        <v>8000</v>
      </c>
      <c r="AZ67" s="18">
        <v>5.5</v>
      </c>
      <c r="BA67" s="18">
        <v>6.5</v>
      </c>
      <c r="BB67" s="18">
        <v>4.8</v>
      </c>
      <c r="BC67" s="18">
        <v>8.5</v>
      </c>
      <c r="BD67" s="18">
        <v>0</v>
      </c>
      <c r="BE67" s="18">
        <v>0</v>
      </c>
      <c r="BF67" s="18">
        <v>30</v>
      </c>
      <c r="BG67" s="18">
        <v>40</v>
      </c>
      <c r="BH67" s="18">
        <v>2500</v>
      </c>
      <c r="BI67" s="18" t="s">
        <v>163</v>
      </c>
      <c r="BJ67" s="18" t="s">
        <v>164</v>
      </c>
      <c r="BK67" s="18" t="s">
        <v>163</v>
      </c>
      <c r="BL67" s="18" t="s">
        <v>317</v>
      </c>
      <c r="BM67" s="18" t="s">
        <v>288</v>
      </c>
      <c r="BN67" s="18" t="s">
        <v>166</v>
      </c>
      <c r="BO67" s="51" t="s">
        <v>250</v>
      </c>
      <c r="BP67" s="51" t="s">
        <v>250</v>
      </c>
      <c r="BQ67" s="51" t="s">
        <v>169</v>
      </c>
      <c r="BR67" s="51" t="s">
        <v>170</v>
      </c>
      <c r="BS67" s="51">
        <v>0</v>
      </c>
      <c r="BT67" s="51">
        <v>0</v>
      </c>
      <c r="BU67" s="51" t="s">
        <v>171</v>
      </c>
      <c r="BV67" s="51" t="s">
        <v>171</v>
      </c>
      <c r="BW67" s="51" t="s">
        <v>172</v>
      </c>
      <c r="BX67" s="51" t="s">
        <v>172</v>
      </c>
      <c r="BY67" s="51">
        <v>-2</v>
      </c>
      <c r="BZ67" s="51">
        <v>9</v>
      </c>
      <c r="CA67" s="51" t="s">
        <v>291</v>
      </c>
      <c r="CB67" s="51" t="s">
        <v>1118</v>
      </c>
      <c r="CC67" s="51">
        <v>0</v>
      </c>
      <c r="CD67" s="51">
        <v>0</v>
      </c>
      <c r="CE67" s="51">
        <v>0</v>
      </c>
      <c r="CF67" s="51">
        <v>0</v>
      </c>
      <c r="CG67" s="51">
        <v>220</v>
      </c>
      <c r="CH67" s="51">
        <v>300</v>
      </c>
      <c r="CI67" s="32">
        <v>0.3</v>
      </c>
      <c r="CJ67" s="32">
        <v>0.5</v>
      </c>
      <c r="CK67" s="32">
        <v>2</v>
      </c>
      <c r="CL67" s="32">
        <v>5</v>
      </c>
      <c r="CM67" s="33" t="s">
        <v>2634</v>
      </c>
      <c r="CN67" s="34">
        <v>5</v>
      </c>
      <c r="CO67" s="34">
        <v>25</v>
      </c>
      <c r="CP67" s="35" t="s">
        <v>2635</v>
      </c>
      <c r="CQ67" s="35" t="s">
        <v>209</v>
      </c>
      <c r="CR67" s="36">
        <v>10</v>
      </c>
      <c r="CS67" s="36">
        <v>10</v>
      </c>
      <c r="CT67" s="36">
        <v>15</v>
      </c>
      <c r="CU67" s="36">
        <v>3</v>
      </c>
      <c r="CV67" s="36">
        <v>3</v>
      </c>
      <c r="CW67" s="36">
        <v>5</v>
      </c>
      <c r="CX67" s="36">
        <v>3</v>
      </c>
      <c r="CY67" s="36">
        <v>20</v>
      </c>
      <c r="CZ67" s="36">
        <v>8</v>
      </c>
      <c r="DA67" s="37">
        <v>250</v>
      </c>
      <c r="DB67" s="37">
        <v>200</v>
      </c>
      <c r="DC67" s="37">
        <v>400</v>
      </c>
      <c r="DD67" s="37">
        <v>25</v>
      </c>
      <c r="DE67" s="37">
        <v>25</v>
      </c>
      <c r="DF67" s="37">
        <v>50</v>
      </c>
      <c r="DG67" s="37">
        <v>30</v>
      </c>
      <c r="DH67" s="37">
        <v>500</v>
      </c>
      <c r="DI67" s="37">
        <v>150</v>
      </c>
      <c r="DJ67" s="38" t="s">
        <v>2636</v>
      </c>
      <c r="DK67" s="39" t="s">
        <v>180</v>
      </c>
      <c r="DL67" s="40">
        <v>75</v>
      </c>
      <c r="DM67" s="39" t="s">
        <v>2637</v>
      </c>
      <c r="DN67" s="41"/>
      <c r="DO67" s="41"/>
      <c r="DP67" s="41"/>
      <c r="DQ67" s="24" t="s">
        <v>182</v>
      </c>
      <c r="DR67" s="25" t="s">
        <v>183</v>
      </c>
      <c r="DS67" s="25" t="s">
        <v>183</v>
      </c>
      <c r="DT67" s="25" t="s">
        <v>183</v>
      </c>
      <c r="DU67" s="25" t="s">
        <v>183</v>
      </c>
      <c r="DV67" s="24" t="s">
        <v>182</v>
      </c>
      <c r="DW67" s="41"/>
      <c r="DX67" s="41"/>
      <c r="DY67" s="41"/>
      <c r="DZ67" s="42" t="s">
        <v>2638</v>
      </c>
      <c r="EA67" s="42" t="s">
        <v>2639</v>
      </c>
      <c r="EB67" s="48" t="s">
        <v>239</v>
      </c>
      <c r="EC67" s="44" t="s">
        <v>2640</v>
      </c>
      <c r="ED67" s="45" t="s">
        <v>1166</v>
      </c>
      <c r="EE67" s="46">
        <v>2</v>
      </c>
      <c r="EF67" s="50" t="s">
        <v>1166</v>
      </c>
    </row>
    <row r="68" spans="1:136" ht="15" customHeight="1" x14ac:dyDescent="0.25">
      <c r="A68" s="16" t="s">
        <v>2276</v>
      </c>
      <c r="B68" s="17" t="s">
        <v>2221</v>
      </c>
      <c r="C68" s="17" t="s">
        <v>2277</v>
      </c>
      <c r="D68" s="18">
        <v>38.700000000000003</v>
      </c>
      <c r="E68" s="18">
        <v>1.6</v>
      </c>
      <c r="F68" s="18">
        <v>0.2</v>
      </c>
      <c r="G68" s="18">
        <v>2.8</v>
      </c>
      <c r="H68" s="18">
        <v>5.0999999999999996</v>
      </c>
      <c r="I68" s="18">
        <v>41</v>
      </c>
      <c r="J68" s="18">
        <v>0.2</v>
      </c>
      <c r="K68" s="18">
        <v>22</v>
      </c>
      <c r="L68" s="18">
        <v>30</v>
      </c>
      <c r="M68" s="18">
        <v>440</v>
      </c>
      <c r="N68" s="18">
        <v>21</v>
      </c>
      <c r="O68" s="18">
        <v>0.5</v>
      </c>
      <c r="P68" s="18"/>
      <c r="Q68" s="18"/>
      <c r="R68" s="18">
        <v>0.7</v>
      </c>
      <c r="S68" s="18">
        <v>3</v>
      </c>
      <c r="T68" s="18">
        <v>0.36</v>
      </c>
      <c r="U68" s="18">
        <v>13</v>
      </c>
      <c r="V68" s="18">
        <v>0.06</v>
      </c>
      <c r="W68" s="18">
        <v>0.13</v>
      </c>
      <c r="X68" s="18">
        <v>0.8</v>
      </c>
      <c r="Y68" s="18">
        <v>0.16</v>
      </c>
      <c r="Z68" s="18">
        <v>0</v>
      </c>
      <c r="AA68" s="18">
        <v>8</v>
      </c>
      <c r="AB68" s="18">
        <v>3289</v>
      </c>
      <c r="AC68" s="18" t="s">
        <v>2278</v>
      </c>
      <c r="AD68" s="18" t="s">
        <v>2279</v>
      </c>
      <c r="AE68" s="18" t="s">
        <v>195</v>
      </c>
      <c r="AF68" s="18" t="s">
        <v>2280</v>
      </c>
      <c r="AG68" s="18" t="s">
        <v>2281</v>
      </c>
      <c r="AH68" s="18" t="s">
        <v>2282</v>
      </c>
      <c r="AI68" s="18" t="s">
        <v>155</v>
      </c>
      <c r="AJ68" s="18" t="s">
        <v>156</v>
      </c>
      <c r="AK68" s="18" t="s">
        <v>2283</v>
      </c>
      <c r="AL68" s="18" t="s">
        <v>158</v>
      </c>
      <c r="AM68" s="18" t="s">
        <v>159</v>
      </c>
      <c r="AN68" s="18" t="s">
        <v>160</v>
      </c>
      <c r="AO68" s="18" t="s">
        <v>161</v>
      </c>
      <c r="AP68" s="18" t="s">
        <v>161</v>
      </c>
      <c r="AQ68" s="18" t="s">
        <v>362</v>
      </c>
      <c r="AR68" s="18">
        <v>15</v>
      </c>
      <c r="AS68" s="18">
        <v>25</v>
      </c>
      <c r="AT68" s="18">
        <v>7</v>
      </c>
      <c r="AU68" s="18">
        <v>26</v>
      </c>
      <c r="AV68" s="18">
        <v>1000</v>
      </c>
      <c r="AW68" s="18">
        <v>1200</v>
      </c>
      <c r="AX68" s="18">
        <v>700</v>
      </c>
      <c r="AY68" s="18">
        <v>1700</v>
      </c>
      <c r="AZ68" s="18">
        <v>6</v>
      </c>
      <c r="BA68" s="18">
        <v>6.8</v>
      </c>
      <c r="BB68" s="18">
        <v>5.3</v>
      </c>
      <c r="BC68" s="18">
        <v>8.3000000000000007</v>
      </c>
      <c r="BD68" s="18">
        <v>35</v>
      </c>
      <c r="BE68" s="18">
        <v>35</v>
      </c>
      <c r="BF68" s="18">
        <v>60</v>
      </c>
      <c r="BG68" s="18">
        <v>60</v>
      </c>
      <c r="BH68" s="18"/>
      <c r="BI68" s="18" t="s">
        <v>163</v>
      </c>
      <c r="BJ68" s="18" t="s">
        <v>165</v>
      </c>
      <c r="BK68" s="18" t="s">
        <v>163</v>
      </c>
      <c r="BL68" s="18" t="s">
        <v>165</v>
      </c>
      <c r="BM68" s="18" t="s">
        <v>166</v>
      </c>
      <c r="BN68" s="18" t="s">
        <v>166</v>
      </c>
      <c r="BO68" s="18" t="s">
        <v>167</v>
      </c>
      <c r="BP68" s="18" t="s">
        <v>567</v>
      </c>
      <c r="BQ68" s="18" t="s">
        <v>169</v>
      </c>
      <c r="BR68" s="18" t="s">
        <v>170</v>
      </c>
      <c r="BS68" s="18"/>
      <c r="BT68" s="18"/>
      <c r="BU68" s="18" t="s">
        <v>171</v>
      </c>
      <c r="BV68" s="18" t="s">
        <v>231</v>
      </c>
      <c r="BW68" s="18" t="s">
        <v>172</v>
      </c>
      <c r="BX68" s="18" t="s">
        <v>318</v>
      </c>
      <c r="BY68" s="18">
        <v>-5</v>
      </c>
      <c r="BZ68" s="18">
        <v>-5</v>
      </c>
      <c r="CA68" s="18" t="s">
        <v>173</v>
      </c>
      <c r="CB68" s="18" t="s">
        <v>2284</v>
      </c>
      <c r="CC68" s="18"/>
      <c r="CD68" s="18"/>
      <c r="CE68" s="18"/>
      <c r="CF68" s="18"/>
      <c r="CG68" s="18">
        <v>80</v>
      </c>
      <c r="CH68" s="18">
        <v>270</v>
      </c>
      <c r="CI68" s="32">
        <v>0.3</v>
      </c>
      <c r="CJ68" s="32">
        <v>0.8</v>
      </c>
      <c r="CK68" s="32">
        <v>0.3</v>
      </c>
      <c r="CL68" s="32">
        <v>0.5</v>
      </c>
      <c r="CM68" s="33" t="s">
        <v>2285</v>
      </c>
      <c r="CN68" s="34">
        <v>15</v>
      </c>
      <c r="CO68" s="34">
        <v>50</v>
      </c>
      <c r="CP68" s="35" t="s">
        <v>2286</v>
      </c>
      <c r="CQ68" s="35" t="s">
        <v>1953</v>
      </c>
      <c r="CR68" s="36">
        <v>5</v>
      </c>
      <c r="CS68" s="36">
        <v>5</v>
      </c>
      <c r="CT68" s="36">
        <v>8</v>
      </c>
      <c r="CU68" s="36">
        <v>3</v>
      </c>
      <c r="CV68" s="36">
        <v>3</v>
      </c>
      <c r="CW68" s="36">
        <v>0</v>
      </c>
      <c r="CX68" s="36">
        <v>4</v>
      </c>
      <c r="CY68" s="36">
        <v>8</v>
      </c>
      <c r="CZ68" s="36">
        <v>6</v>
      </c>
      <c r="DA68" s="37">
        <v>140</v>
      </c>
      <c r="DB68" s="37">
        <v>120</v>
      </c>
      <c r="DC68" s="37">
        <v>250</v>
      </c>
      <c r="DD68" s="37">
        <v>25</v>
      </c>
      <c r="DE68" s="37">
        <v>20</v>
      </c>
      <c r="DF68" s="37">
        <v>0</v>
      </c>
      <c r="DG68" s="37">
        <v>40</v>
      </c>
      <c r="DH68" s="37">
        <v>250</v>
      </c>
      <c r="DI68" s="37">
        <v>100</v>
      </c>
      <c r="DJ68" s="38" t="s">
        <v>2287</v>
      </c>
      <c r="DK68" s="39" t="s">
        <v>180</v>
      </c>
      <c r="DL68" s="40">
        <v>75</v>
      </c>
      <c r="DM68" s="39" t="s">
        <v>2288</v>
      </c>
      <c r="DN68" s="41"/>
      <c r="DO68" s="41"/>
      <c r="DP68" s="41"/>
      <c r="DQ68" s="41"/>
      <c r="DR68" s="24" t="s">
        <v>182</v>
      </c>
      <c r="DS68" s="25" t="s">
        <v>183</v>
      </c>
      <c r="DT68" s="25" t="s">
        <v>183</v>
      </c>
      <c r="DU68" s="25" t="s">
        <v>183</v>
      </c>
      <c r="DV68" s="25" t="s">
        <v>183</v>
      </c>
      <c r="DW68" s="24" t="s">
        <v>182</v>
      </c>
      <c r="DX68" s="41"/>
      <c r="DY68" s="41"/>
      <c r="DZ68" s="42" t="s">
        <v>2289</v>
      </c>
      <c r="EA68" s="42" t="s">
        <v>2290</v>
      </c>
      <c r="EB68" s="48" t="s">
        <v>239</v>
      </c>
      <c r="EC68" s="44" t="s">
        <v>2291</v>
      </c>
      <c r="ED68" s="45" t="s">
        <v>1166</v>
      </c>
      <c r="EE68" s="46">
        <v>1</v>
      </c>
      <c r="EF68" s="50" t="s">
        <v>1166</v>
      </c>
    </row>
    <row r="69" spans="1:136" ht="15" customHeight="1" x14ac:dyDescent="0.25">
      <c r="A69" s="16" t="s">
        <v>2203</v>
      </c>
      <c r="B69" s="29" t="s">
        <v>2204</v>
      </c>
      <c r="C69" s="29" t="s">
        <v>2205</v>
      </c>
      <c r="D69" s="30">
        <v>31.5</v>
      </c>
      <c r="E69" s="30">
        <v>0.8</v>
      </c>
      <c r="F69" s="30">
        <v>0.4</v>
      </c>
      <c r="G69" s="30">
        <v>4.8</v>
      </c>
      <c r="H69" s="30">
        <v>2.8</v>
      </c>
      <c r="I69" s="30">
        <v>17</v>
      </c>
      <c r="J69" s="30">
        <v>0.6</v>
      </c>
      <c r="K69" s="30">
        <v>28</v>
      </c>
      <c r="L69" s="30">
        <v>34</v>
      </c>
      <c r="M69" s="30">
        <v>240</v>
      </c>
      <c r="N69" s="30">
        <v>11</v>
      </c>
      <c r="O69" s="30">
        <v>0.4</v>
      </c>
      <c r="P69" s="30"/>
      <c r="Q69" s="30"/>
      <c r="R69" s="30">
        <v>0.7</v>
      </c>
      <c r="S69" s="30">
        <v>6</v>
      </c>
      <c r="T69" s="30">
        <v>0.26</v>
      </c>
      <c r="U69" s="30">
        <v>3</v>
      </c>
      <c r="V69" s="30">
        <v>0.01</v>
      </c>
      <c r="W69" s="30">
        <v>0.03</v>
      </c>
      <c r="X69" s="30">
        <v>0.9</v>
      </c>
      <c r="Y69" s="30">
        <v>0.16</v>
      </c>
      <c r="Z69" s="30">
        <v>0</v>
      </c>
      <c r="AA69" s="30">
        <v>11</v>
      </c>
      <c r="AB69" s="31">
        <v>3052</v>
      </c>
      <c r="AC69" s="31" t="s">
        <v>2206</v>
      </c>
      <c r="AD69" s="31" t="s">
        <v>2207</v>
      </c>
      <c r="AE69" s="31" t="s">
        <v>2208</v>
      </c>
      <c r="AF69" s="31" t="s">
        <v>2209</v>
      </c>
      <c r="AG69" s="31" t="s">
        <v>2210</v>
      </c>
      <c r="AH69" s="31" t="s">
        <v>2211</v>
      </c>
      <c r="AI69" s="31" t="s">
        <v>226</v>
      </c>
      <c r="AJ69" s="31" t="s">
        <v>156</v>
      </c>
      <c r="AK69" s="31" t="s">
        <v>687</v>
      </c>
      <c r="AL69" s="31" t="s">
        <v>314</v>
      </c>
      <c r="AM69" s="31"/>
      <c r="AN69" s="31"/>
      <c r="AO69" s="31" t="s">
        <v>228</v>
      </c>
      <c r="AP69" s="31" t="s">
        <v>161</v>
      </c>
      <c r="AQ69" s="31" t="s">
        <v>362</v>
      </c>
      <c r="AR69" s="31">
        <v>27</v>
      </c>
      <c r="AS69" s="31">
        <v>32</v>
      </c>
      <c r="AT69" s="31">
        <v>20</v>
      </c>
      <c r="AU69" s="31">
        <v>36</v>
      </c>
      <c r="AV69" s="31">
        <v>2500</v>
      </c>
      <c r="AW69" s="31">
        <v>3000</v>
      </c>
      <c r="AX69" s="31">
        <v>2000</v>
      </c>
      <c r="AY69" s="31">
        <v>3700</v>
      </c>
      <c r="AZ69" s="31">
        <v>5.5</v>
      </c>
      <c r="BA69" s="31">
        <v>6.5</v>
      </c>
      <c r="BB69" s="31">
        <v>5</v>
      </c>
      <c r="BC69" s="31">
        <v>6.8</v>
      </c>
      <c r="BD69" s="31"/>
      <c r="BE69" s="31"/>
      <c r="BF69" s="31">
        <v>20</v>
      </c>
      <c r="BG69" s="31">
        <v>20</v>
      </c>
      <c r="BH69" s="31">
        <v>1200</v>
      </c>
      <c r="BI69" s="31" t="s">
        <v>164</v>
      </c>
      <c r="BJ69" s="31" t="s">
        <v>317</v>
      </c>
      <c r="BK69" s="31" t="s">
        <v>163</v>
      </c>
      <c r="BL69" s="31" t="s">
        <v>317</v>
      </c>
      <c r="BM69" s="31" t="s">
        <v>166</v>
      </c>
      <c r="BN69" s="31" t="s">
        <v>201</v>
      </c>
      <c r="BO69" s="31" t="s">
        <v>203</v>
      </c>
      <c r="BP69" s="31" t="s">
        <v>203</v>
      </c>
      <c r="BQ69" s="31" t="s">
        <v>169</v>
      </c>
      <c r="BR69" s="31" t="s">
        <v>170</v>
      </c>
      <c r="BS69" s="31"/>
      <c r="BT69" s="31"/>
      <c r="BU69" s="31" t="s">
        <v>171</v>
      </c>
      <c r="BV69" s="31" t="s">
        <v>171</v>
      </c>
      <c r="BW69" s="31" t="s">
        <v>172</v>
      </c>
      <c r="BX69" s="31" t="s">
        <v>172</v>
      </c>
      <c r="BY69" s="31"/>
      <c r="BZ69" s="31"/>
      <c r="CA69" s="31" t="s">
        <v>291</v>
      </c>
      <c r="CB69" s="31" t="s">
        <v>342</v>
      </c>
      <c r="CC69" s="31"/>
      <c r="CD69" s="31"/>
      <c r="CE69" s="31"/>
      <c r="CF69" s="31"/>
      <c r="CG69" s="31">
        <v>90</v>
      </c>
      <c r="CH69" s="31">
        <v>365</v>
      </c>
      <c r="CI69" s="19">
        <v>0.6</v>
      </c>
      <c r="CJ69" s="19">
        <v>1.2</v>
      </c>
      <c r="CK69" s="19">
        <v>0.5</v>
      </c>
      <c r="CL69" s="19">
        <v>1</v>
      </c>
      <c r="CM69" s="17" t="s">
        <v>2212</v>
      </c>
      <c r="CN69" s="20">
        <v>8</v>
      </c>
      <c r="CO69" s="20">
        <v>30</v>
      </c>
      <c r="CP69" s="17" t="s">
        <v>2213</v>
      </c>
      <c r="CQ69" s="17" t="s">
        <v>209</v>
      </c>
      <c r="CR69" s="21">
        <v>6</v>
      </c>
      <c r="CS69" s="21">
        <v>6</v>
      </c>
      <c r="CT69" s="21">
        <v>10</v>
      </c>
      <c r="CU69" s="21">
        <v>3</v>
      </c>
      <c r="CV69" s="21">
        <v>4</v>
      </c>
      <c r="CW69" s="21">
        <v>0</v>
      </c>
      <c r="CX69" s="21">
        <v>4</v>
      </c>
      <c r="CY69" s="21">
        <v>15</v>
      </c>
      <c r="CZ69" s="21">
        <v>8</v>
      </c>
      <c r="DA69" s="21">
        <v>150</v>
      </c>
      <c r="DB69" s="21">
        <v>150</v>
      </c>
      <c r="DC69" s="21">
        <v>300</v>
      </c>
      <c r="DD69" s="21">
        <v>30</v>
      </c>
      <c r="DE69" s="21">
        <v>35</v>
      </c>
      <c r="DF69" s="21">
        <v>0</v>
      </c>
      <c r="DG69" s="21">
        <v>40</v>
      </c>
      <c r="DH69" s="21">
        <v>400</v>
      </c>
      <c r="DI69" s="21">
        <v>150</v>
      </c>
      <c r="DJ69" s="17" t="s">
        <v>2214</v>
      </c>
      <c r="DK69" s="17" t="s">
        <v>180</v>
      </c>
      <c r="DL69" s="22">
        <v>75</v>
      </c>
      <c r="DM69" s="17" t="s">
        <v>2215</v>
      </c>
      <c r="DN69" s="23"/>
      <c r="DO69" s="23"/>
      <c r="DP69" s="23"/>
      <c r="DQ69" s="23"/>
      <c r="DR69" s="24" t="s">
        <v>182</v>
      </c>
      <c r="DS69" s="25" t="s">
        <v>183</v>
      </c>
      <c r="DT69" s="25" t="s">
        <v>183</v>
      </c>
      <c r="DU69" s="25" t="s">
        <v>183</v>
      </c>
      <c r="DV69" s="25" t="s">
        <v>183</v>
      </c>
      <c r="DW69" s="24" t="s">
        <v>182</v>
      </c>
      <c r="DX69" s="23"/>
      <c r="DY69" s="23"/>
      <c r="DZ69" s="17" t="s">
        <v>2216</v>
      </c>
      <c r="EA69" s="17" t="s">
        <v>2217</v>
      </c>
      <c r="EB69" s="48" t="s">
        <v>239</v>
      </c>
      <c r="EC69" s="17" t="s">
        <v>2218</v>
      </c>
      <c r="ED69" s="27" t="s">
        <v>2219</v>
      </c>
      <c r="EE69" s="22">
        <v>3</v>
      </c>
      <c r="EF69" s="28" t="s">
        <v>353</v>
      </c>
    </row>
    <row r="70" spans="1:136" ht="15" customHeight="1" x14ac:dyDescent="0.25">
      <c r="A70" s="16" t="s">
        <v>1832</v>
      </c>
      <c r="B70" s="17" t="s">
        <v>2131</v>
      </c>
      <c r="C70" s="17" t="s">
        <v>2145</v>
      </c>
      <c r="D70" s="18">
        <v>36</v>
      </c>
      <c r="E70" s="18">
        <v>2.09</v>
      </c>
      <c r="F70" s="18">
        <v>8.18</v>
      </c>
      <c r="G70" s="18">
        <v>4.2</v>
      </c>
      <c r="H70" s="18">
        <v>0.19</v>
      </c>
      <c r="I70" s="18">
        <v>20</v>
      </c>
      <c r="J70" s="18">
        <v>0.45</v>
      </c>
      <c r="K70" s="18">
        <v>42</v>
      </c>
      <c r="L70" s="18">
        <v>49</v>
      </c>
      <c r="M70" s="18">
        <v>457</v>
      </c>
      <c r="N70" s="18">
        <v>279</v>
      </c>
      <c r="O70" s="18">
        <v>0.42</v>
      </c>
      <c r="P70" s="18">
        <v>7.8E-2</v>
      </c>
      <c r="Q70" s="18">
        <v>0.24099999999999999</v>
      </c>
      <c r="R70" s="18">
        <v>0.7</v>
      </c>
      <c r="S70" s="18">
        <v>70</v>
      </c>
      <c r="T70" s="18">
        <v>0</v>
      </c>
      <c r="U70" s="18">
        <v>97</v>
      </c>
      <c r="V70" s="18">
        <v>4.5999999999999999E-2</v>
      </c>
      <c r="W70" s="18">
        <v>6.8000000000000005E-2</v>
      </c>
      <c r="X70" s="18">
        <v>0.59</v>
      </c>
      <c r="Y70" s="18">
        <v>0.112</v>
      </c>
      <c r="Z70" s="18">
        <v>0</v>
      </c>
      <c r="AA70" s="18">
        <v>30</v>
      </c>
      <c r="AB70" s="18">
        <v>2348</v>
      </c>
      <c r="AC70" s="18" t="s">
        <v>1834</v>
      </c>
      <c r="AD70" s="18" t="s">
        <v>893</v>
      </c>
      <c r="AE70" s="18" t="s">
        <v>1835</v>
      </c>
      <c r="AF70" s="18" t="s">
        <v>1836</v>
      </c>
      <c r="AG70" s="18" t="s">
        <v>1837</v>
      </c>
      <c r="AH70" s="18" t="s">
        <v>1838</v>
      </c>
      <c r="AI70" s="18" t="s">
        <v>155</v>
      </c>
      <c r="AJ70" s="18" t="s">
        <v>621</v>
      </c>
      <c r="AK70" s="18" t="s">
        <v>157</v>
      </c>
      <c r="AL70" s="18" t="s">
        <v>314</v>
      </c>
      <c r="AM70" s="18">
        <v>0</v>
      </c>
      <c r="AN70" s="18" t="s">
        <v>622</v>
      </c>
      <c r="AO70" s="18" t="s">
        <v>1839</v>
      </c>
      <c r="AP70" s="18" t="s">
        <v>286</v>
      </c>
      <c r="AQ70" s="18" t="s">
        <v>362</v>
      </c>
      <c r="AR70" s="18">
        <v>20</v>
      </c>
      <c r="AS70" s="18">
        <v>35</v>
      </c>
      <c r="AT70" s="18">
        <v>7</v>
      </c>
      <c r="AU70" s="18">
        <v>48</v>
      </c>
      <c r="AV70" s="18">
        <v>700</v>
      </c>
      <c r="AW70" s="18">
        <v>2200</v>
      </c>
      <c r="AX70" s="18">
        <v>400</v>
      </c>
      <c r="AY70" s="18">
        <v>2600</v>
      </c>
      <c r="AZ70" s="18">
        <v>5.5</v>
      </c>
      <c r="BA70" s="18">
        <v>7</v>
      </c>
      <c r="BB70" s="18">
        <v>5</v>
      </c>
      <c r="BC70" s="18">
        <v>8.5</v>
      </c>
      <c r="BD70" s="18">
        <v>10</v>
      </c>
      <c r="BE70" s="18">
        <v>10</v>
      </c>
      <c r="BF70" s="18">
        <v>20</v>
      </c>
      <c r="BG70" s="18">
        <v>30</v>
      </c>
      <c r="BH70" s="18">
        <v>1000</v>
      </c>
      <c r="BI70" s="18" t="s">
        <v>163</v>
      </c>
      <c r="BJ70" s="18" t="s">
        <v>164</v>
      </c>
      <c r="BK70" s="18" t="s">
        <v>163</v>
      </c>
      <c r="BL70" s="18" t="s">
        <v>165</v>
      </c>
      <c r="BM70" s="18" t="s">
        <v>288</v>
      </c>
      <c r="BN70" s="18" t="s">
        <v>166</v>
      </c>
      <c r="BO70" s="51" t="s">
        <v>250</v>
      </c>
      <c r="BP70" s="51" t="s">
        <v>203</v>
      </c>
      <c r="BQ70" s="51" t="s">
        <v>170</v>
      </c>
      <c r="BR70" s="51" t="s">
        <v>230</v>
      </c>
      <c r="BS70" s="51">
        <v>0</v>
      </c>
      <c r="BT70" s="51">
        <v>0</v>
      </c>
      <c r="BU70" s="51" t="s">
        <v>171</v>
      </c>
      <c r="BV70" s="51" t="s">
        <v>171</v>
      </c>
      <c r="BW70" s="51" t="s">
        <v>172</v>
      </c>
      <c r="BX70" s="51" t="s">
        <v>290</v>
      </c>
      <c r="BY70" s="51">
        <v>0</v>
      </c>
      <c r="BZ70" s="51">
        <v>0</v>
      </c>
      <c r="CA70" s="51" t="s">
        <v>173</v>
      </c>
      <c r="CB70" s="51" t="s">
        <v>1840</v>
      </c>
      <c r="CC70" s="51">
        <v>0</v>
      </c>
      <c r="CD70" s="51">
        <v>0</v>
      </c>
      <c r="CE70" s="51">
        <v>0</v>
      </c>
      <c r="CF70" s="51" t="s">
        <v>175</v>
      </c>
      <c r="CG70" s="51">
        <v>210</v>
      </c>
      <c r="CH70" s="51">
        <v>330</v>
      </c>
      <c r="CI70" s="32">
        <v>5</v>
      </c>
      <c r="CJ70" s="32">
        <v>12</v>
      </c>
      <c r="CK70" s="32">
        <v>3</v>
      </c>
      <c r="CL70" s="32">
        <v>8</v>
      </c>
      <c r="CM70" s="33" t="s">
        <v>1841</v>
      </c>
      <c r="CN70" s="34">
        <v>2</v>
      </c>
      <c r="CO70" s="34">
        <v>15</v>
      </c>
      <c r="CP70" s="35" t="s">
        <v>1842</v>
      </c>
      <c r="CQ70" s="35" t="s">
        <v>1843</v>
      </c>
      <c r="CR70" s="36">
        <v>0</v>
      </c>
      <c r="CS70" s="36">
        <v>0</v>
      </c>
      <c r="CT70" s="36">
        <v>5</v>
      </c>
      <c r="CU70" s="36">
        <v>3</v>
      </c>
      <c r="CV70" s="36">
        <v>3</v>
      </c>
      <c r="CW70" s="36">
        <v>8</v>
      </c>
      <c r="CX70" s="36">
        <v>4</v>
      </c>
      <c r="CY70" s="36">
        <v>20</v>
      </c>
      <c r="CZ70" s="36">
        <v>8</v>
      </c>
      <c r="DA70" s="37">
        <v>0</v>
      </c>
      <c r="DB70" s="37">
        <v>0</v>
      </c>
      <c r="DC70" s="37">
        <v>40</v>
      </c>
      <c r="DD70" s="37">
        <v>20</v>
      </c>
      <c r="DE70" s="37">
        <v>20</v>
      </c>
      <c r="DF70" s="37">
        <v>80</v>
      </c>
      <c r="DG70" s="37">
        <v>30</v>
      </c>
      <c r="DH70" s="37">
        <v>400</v>
      </c>
      <c r="DI70" s="37">
        <v>100</v>
      </c>
      <c r="DJ70" s="38" t="s">
        <v>1844</v>
      </c>
      <c r="DK70" s="39" t="s">
        <v>180</v>
      </c>
      <c r="DL70" s="40">
        <v>75</v>
      </c>
      <c r="DM70" s="39" t="s">
        <v>1845</v>
      </c>
      <c r="DN70" s="41"/>
      <c r="DO70" s="41"/>
      <c r="DP70" s="41"/>
      <c r="DQ70" s="41"/>
      <c r="DR70" s="41"/>
      <c r="DS70" s="41"/>
      <c r="DT70" s="24" t="s">
        <v>182</v>
      </c>
      <c r="DU70" s="25" t="s">
        <v>183</v>
      </c>
      <c r="DV70" s="25" t="s">
        <v>183</v>
      </c>
      <c r="DW70" s="25" t="s">
        <v>183</v>
      </c>
      <c r="DX70" s="25" t="s">
        <v>183</v>
      </c>
      <c r="DY70" s="24" t="s">
        <v>182</v>
      </c>
      <c r="DZ70" s="42" t="s">
        <v>1846</v>
      </c>
      <c r="EA70" s="42" t="s">
        <v>1847</v>
      </c>
      <c r="EB70" s="52" t="s">
        <v>301</v>
      </c>
      <c r="EC70" s="44" t="s">
        <v>1848</v>
      </c>
      <c r="ED70" s="45" t="s">
        <v>1067</v>
      </c>
      <c r="EE70" s="46">
        <v>6</v>
      </c>
      <c r="EF70" s="56" t="s">
        <v>497</v>
      </c>
    </row>
    <row r="71" spans="1:136" ht="15" customHeight="1" x14ac:dyDescent="0.25">
      <c r="A71" s="16" t="s">
        <v>2260</v>
      </c>
      <c r="B71" s="17" t="s">
        <v>2221</v>
      </c>
      <c r="C71" s="17" t="s">
        <v>2261</v>
      </c>
      <c r="D71" s="18">
        <v>140.30000000000001</v>
      </c>
      <c r="E71" s="18">
        <v>1.1000000000000001</v>
      </c>
      <c r="F71" s="18">
        <v>0.2</v>
      </c>
      <c r="G71" s="18">
        <v>30.4</v>
      </c>
      <c r="H71" s="18">
        <v>4.5999999999999996</v>
      </c>
      <c r="I71" s="18">
        <v>20</v>
      </c>
      <c r="J71" s="18">
        <v>0.8</v>
      </c>
      <c r="K71" s="18">
        <v>11</v>
      </c>
      <c r="L71" s="18">
        <v>27</v>
      </c>
      <c r="M71" s="18">
        <v>270</v>
      </c>
      <c r="N71" s="18">
        <v>2</v>
      </c>
      <c r="O71" s="18">
        <v>2.35</v>
      </c>
      <c r="P71" s="18"/>
      <c r="Q71" s="18"/>
      <c r="R71" s="18">
        <v>0.7</v>
      </c>
      <c r="S71" s="18">
        <v>68</v>
      </c>
      <c r="T71" s="18">
        <v>0.19</v>
      </c>
      <c r="U71" s="18">
        <v>40</v>
      </c>
      <c r="V71" s="18">
        <v>0.16</v>
      </c>
      <c r="W71" s="18">
        <v>0.02</v>
      </c>
      <c r="X71" s="18">
        <v>0.6</v>
      </c>
      <c r="Y71" s="18">
        <v>0.09</v>
      </c>
      <c r="Z71" s="18">
        <v>0</v>
      </c>
      <c r="AA71" s="18">
        <v>27</v>
      </c>
      <c r="AB71" s="18">
        <v>1420</v>
      </c>
      <c r="AC71" s="18" t="s">
        <v>2262</v>
      </c>
      <c r="AD71" s="18" t="s">
        <v>2263</v>
      </c>
      <c r="AE71" s="18" t="s">
        <v>2264</v>
      </c>
      <c r="AF71" s="18" t="s">
        <v>2265</v>
      </c>
      <c r="AG71" s="18" t="s">
        <v>2266</v>
      </c>
      <c r="AH71" s="18" t="s">
        <v>2267</v>
      </c>
      <c r="AI71" s="18" t="s">
        <v>226</v>
      </c>
      <c r="AJ71" s="18" t="s">
        <v>523</v>
      </c>
      <c r="AK71" s="18" t="s">
        <v>157</v>
      </c>
      <c r="AL71" s="18" t="s">
        <v>314</v>
      </c>
      <c r="AM71" s="18"/>
      <c r="AN71" s="18"/>
      <c r="AO71" s="18" t="s">
        <v>316</v>
      </c>
      <c r="AP71" s="18" t="s">
        <v>316</v>
      </c>
      <c r="AQ71" s="18" t="s">
        <v>162</v>
      </c>
      <c r="AR71" s="18">
        <v>20</v>
      </c>
      <c r="AS71" s="18">
        <v>29</v>
      </c>
      <c r="AT71" s="18">
        <v>10</v>
      </c>
      <c r="AU71" s="18">
        <v>35</v>
      </c>
      <c r="AV71" s="18">
        <v>1000</v>
      </c>
      <c r="AW71" s="18">
        <v>1500</v>
      </c>
      <c r="AX71" s="18">
        <v>500</v>
      </c>
      <c r="AY71" s="18">
        <v>5000</v>
      </c>
      <c r="AZ71" s="18">
        <v>5.5</v>
      </c>
      <c r="BA71" s="18">
        <v>8</v>
      </c>
      <c r="BB71" s="18">
        <v>4</v>
      </c>
      <c r="BC71" s="18">
        <v>9</v>
      </c>
      <c r="BD71" s="18"/>
      <c r="BE71" s="18"/>
      <c r="BF71" s="18">
        <v>25</v>
      </c>
      <c r="BG71" s="18">
        <v>30</v>
      </c>
      <c r="BH71" s="18">
        <v>2000</v>
      </c>
      <c r="BI71" s="18" t="s">
        <v>163</v>
      </c>
      <c r="BJ71" s="18" t="s">
        <v>163</v>
      </c>
      <c r="BK71" s="18" t="s">
        <v>163</v>
      </c>
      <c r="BL71" s="18" t="s">
        <v>165</v>
      </c>
      <c r="BM71" s="18" t="s">
        <v>166</v>
      </c>
      <c r="BN71" s="18" t="s">
        <v>166</v>
      </c>
      <c r="BO71" s="18" t="s">
        <v>250</v>
      </c>
      <c r="BP71" s="18" t="s">
        <v>567</v>
      </c>
      <c r="BQ71" s="18" t="s">
        <v>170</v>
      </c>
      <c r="BR71" s="18" t="s">
        <v>230</v>
      </c>
      <c r="BS71" s="18"/>
      <c r="BT71" s="18"/>
      <c r="BU71" s="18" t="s">
        <v>171</v>
      </c>
      <c r="BV71" s="18" t="s">
        <v>171</v>
      </c>
      <c r="BW71" s="18" t="s">
        <v>172</v>
      </c>
      <c r="BX71" s="18" t="s">
        <v>290</v>
      </c>
      <c r="BY71" s="18">
        <v>7</v>
      </c>
      <c r="BZ71" s="18">
        <v>0</v>
      </c>
      <c r="CA71" s="18" t="s">
        <v>508</v>
      </c>
      <c r="CB71" s="18" t="s">
        <v>292</v>
      </c>
      <c r="CC71" s="18"/>
      <c r="CD71" s="18"/>
      <c r="CE71" s="18"/>
      <c r="CF71" s="18"/>
      <c r="CG71" s="18">
        <v>180</v>
      </c>
      <c r="CH71" s="18">
        <v>365</v>
      </c>
      <c r="CI71" s="19">
        <v>1.5</v>
      </c>
      <c r="CJ71" s="19">
        <v>4</v>
      </c>
      <c r="CK71" s="19">
        <v>0.8</v>
      </c>
      <c r="CL71" s="19">
        <v>2</v>
      </c>
      <c r="CM71" s="17" t="s">
        <v>2268</v>
      </c>
      <c r="CN71" s="20">
        <v>5</v>
      </c>
      <c r="CO71" s="20">
        <v>40</v>
      </c>
      <c r="CP71" s="17" t="s">
        <v>2269</v>
      </c>
      <c r="CQ71" s="17" t="s">
        <v>209</v>
      </c>
      <c r="CR71" s="21">
        <v>8</v>
      </c>
      <c r="CS71" s="21">
        <v>8</v>
      </c>
      <c r="CT71" s="21">
        <v>15</v>
      </c>
      <c r="CU71" s="21">
        <v>2</v>
      </c>
      <c r="CV71" s="21">
        <v>3</v>
      </c>
      <c r="CW71" s="21">
        <v>0</v>
      </c>
      <c r="CX71" s="21">
        <v>2</v>
      </c>
      <c r="CY71" s="21">
        <v>15</v>
      </c>
      <c r="CZ71" s="21">
        <v>10</v>
      </c>
      <c r="DA71" s="21">
        <v>180</v>
      </c>
      <c r="DB71" s="21">
        <v>150</v>
      </c>
      <c r="DC71" s="21">
        <v>400</v>
      </c>
      <c r="DD71" s="21">
        <v>20</v>
      </c>
      <c r="DE71" s="21">
        <v>25</v>
      </c>
      <c r="DF71" s="21">
        <v>0</v>
      </c>
      <c r="DG71" s="21">
        <v>20</v>
      </c>
      <c r="DH71" s="21">
        <v>450</v>
      </c>
      <c r="DI71" s="21">
        <v>200</v>
      </c>
      <c r="DJ71" s="17" t="s">
        <v>2270</v>
      </c>
      <c r="DK71" s="17" t="s">
        <v>180</v>
      </c>
      <c r="DL71" s="22">
        <v>75</v>
      </c>
      <c r="DM71" s="17" t="s">
        <v>2271</v>
      </c>
      <c r="DN71" s="23"/>
      <c r="DO71" s="23"/>
      <c r="DP71" s="24" t="s">
        <v>182</v>
      </c>
      <c r="DQ71" s="25" t="s">
        <v>183</v>
      </c>
      <c r="DR71" s="25" t="s">
        <v>183</v>
      </c>
      <c r="DS71" s="25" t="s">
        <v>183</v>
      </c>
      <c r="DT71" s="25" t="s">
        <v>183</v>
      </c>
      <c r="DU71" s="25" t="s">
        <v>183</v>
      </c>
      <c r="DV71" s="24" t="s">
        <v>182</v>
      </c>
      <c r="DW71" s="23"/>
      <c r="DX71" s="23"/>
      <c r="DY71" s="23"/>
      <c r="DZ71" s="17" t="s">
        <v>2272</v>
      </c>
      <c r="EA71" s="17" t="s">
        <v>2273</v>
      </c>
      <c r="EB71" s="43" t="s">
        <v>214</v>
      </c>
      <c r="EC71" s="17" t="s">
        <v>2274</v>
      </c>
      <c r="ED71" s="27" t="s">
        <v>828</v>
      </c>
      <c r="EE71" s="22">
        <v>8</v>
      </c>
      <c r="EF71" s="55" t="s">
        <v>2275</v>
      </c>
    </row>
    <row r="72" spans="1:136" ht="15" customHeight="1" x14ac:dyDescent="0.25">
      <c r="A72" s="16" t="s">
        <v>1920</v>
      </c>
      <c r="B72" s="17" t="s">
        <v>2221</v>
      </c>
      <c r="C72" s="17" t="s">
        <v>2323</v>
      </c>
      <c r="D72" s="18">
        <v>28</v>
      </c>
      <c r="E72" s="18">
        <v>0.9</v>
      </c>
      <c r="F72" s="18">
        <v>6.43</v>
      </c>
      <c r="G72" s="18">
        <v>1.8</v>
      </c>
      <c r="H72" s="18">
        <v>0.1</v>
      </c>
      <c r="I72" s="18">
        <v>30</v>
      </c>
      <c r="J72" s="18">
        <v>0.3</v>
      </c>
      <c r="K72" s="18">
        <v>11</v>
      </c>
      <c r="L72" s="18">
        <v>27</v>
      </c>
      <c r="M72" s="18">
        <v>191</v>
      </c>
      <c r="N72" s="18">
        <v>67</v>
      </c>
      <c r="O72" s="18">
        <v>0.27</v>
      </c>
      <c r="P72" s="18">
        <v>8.5000000000000006E-2</v>
      </c>
      <c r="Q72" s="18">
        <v>0.13400000000000001</v>
      </c>
      <c r="R72" s="18">
        <v>0.7</v>
      </c>
      <c r="S72" s="18">
        <v>0</v>
      </c>
      <c r="T72" s="18">
        <v>0.03</v>
      </c>
      <c r="U72" s="18">
        <v>21</v>
      </c>
      <c r="V72" s="18">
        <v>0.04</v>
      </c>
      <c r="W72" s="18">
        <v>0.03</v>
      </c>
      <c r="X72" s="18">
        <v>0.4</v>
      </c>
      <c r="Y72" s="18">
        <v>0.09</v>
      </c>
      <c r="Z72" s="18">
        <v>0</v>
      </c>
      <c r="AA72" s="18">
        <v>15</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51">
        <v>0</v>
      </c>
      <c r="BP72" s="51">
        <v>0</v>
      </c>
      <c r="BQ72" s="51">
        <v>0</v>
      </c>
      <c r="BR72" s="51">
        <v>0</v>
      </c>
      <c r="BS72" s="51">
        <v>0</v>
      </c>
      <c r="BT72" s="51">
        <v>0</v>
      </c>
      <c r="BU72" s="51">
        <v>0</v>
      </c>
      <c r="BV72" s="51">
        <v>0</v>
      </c>
      <c r="BW72" s="51">
        <v>0</v>
      </c>
      <c r="BX72" s="51">
        <v>0</v>
      </c>
      <c r="BY72" s="51">
        <v>0</v>
      </c>
      <c r="BZ72" s="51">
        <v>0</v>
      </c>
      <c r="CA72" s="51">
        <v>0</v>
      </c>
      <c r="CB72" s="51">
        <v>0</v>
      </c>
      <c r="CC72" s="51">
        <v>0</v>
      </c>
      <c r="CD72" s="51">
        <v>0</v>
      </c>
      <c r="CE72" s="51">
        <v>0</v>
      </c>
      <c r="CF72" s="51">
        <v>0</v>
      </c>
      <c r="CG72" s="51">
        <v>0</v>
      </c>
      <c r="CH72" s="51">
        <v>0</v>
      </c>
      <c r="CI72" s="19">
        <v>0.3</v>
      </c>
      <c r="CJ72" s="19">
        <v>0.6</v>
      </c>
      <c r="CK72" s="19">
        <v>0.2</v>
      </c>
      <c r="CL72" s="19">
        <v>0.4</v>
      </c>
      <c r="CM72" s="17" t="s">
        <v>1922</v>
      </c>
      <c r="CN72" s="20">
        <v>15</v>
      </c>
      <c r="CO72" s="20">
        <v>60</v>
      </c>
      <c r="CP72" s="17" t="s">
        <v>1923</v>
      </c>
      <c r="CQ72" s="17" t="s">
        <v>1924</v>
      </c>
      <c r="CR72" s="21">
        <v>4</v>
      </c>
      <c r="CS72" s="21">
        <v>2</v>
      </c>
      <c r="CT72" s="21">
        <v>5</v>
      </c>
      <c r="CU72" s="21">
        <v>2</v>
      </c>
      <c r="CV72" s="21">
        <v>2</v>
      </c>
      <c r="CW72" s="21">
        <v>0</v>
      </c>
      <c r="CX72" s="21">
        <v>2</v>
      </c>
      <c r="CY72" s="21">
        <v>5</v>
      </c>
      <c r="CZ72" s="21">
        <v>3</v>
      </c>
      <c r="DA72" s="21">
        <v>120</v>
      </c>
      <c r="DB72" s="21">
        <v>50</v>
      </c>
      <c r="DC72" s="21">
        <v>160</v>
      </c>
      <c r="DD72" s="21">
        <v>20</v>
      </c>
      <c r="DE72" s="21">
        <v>15</v>
      </c>
      <c r="DF72" s="21">
        <v>0</v>
      </c>
      <c r="DG72" s="21">
        <v>20</v>
      </c>
      <c r="DH72" s="21">
        <v>220</v>
      </c>
      <c r="DI72" s="21">
        <v>60</v>
      </c>
      <c r="DJ72" s="17" t="s">
        <v>837</v>
      </c>
      <c r="DK72" s="17" t="s">
        <v>180</v>
      </c>
      <c r="DL72" s="22">
        <v>75</v>
      </c>
      <c r="DM72" s="17" t="s">
        <v>1925</v>
      </c>
      <c r="DN72" s="23"/>
      <c r="DO72" s="23"/>
      <c r="DP72" s="23"/>
      <c r="DQ72" s="24" t="s">
        <v>182</v>
      </c>
      <c r="DR72" s="25" t="s">
        <v>183</v>
      </c>
      <c r="DS72" s="25" t="s">
        <v>183</v>
      </c>
      <c r="DT72" s="25" t="s">
        <v>183</v>
      </c>
      <c r="DU72" s="25" t="s">
        <v>183</v>
      </c>
      <c r="DV72" s="25" t="s">
        <v>183</v>
      </c>
      <c r="DW72" s="24" t="s">
        <v>182</v>
      </c>
      <c r="DX72" s="23"/>
      <c r="DY72" s="23"/>
      <c r="DZ72" s="17" t="s">
        <v>1926</v>
      </c>
      <c r="EA72" s="17" t="s">
        <v>1927</v>
      </c>
      <c r="EB72" s="48" t="s">
        <v>239</v>
      </c>
      <c r="EC72" s="17" t="s">
        <v>1928</v>
      </c>
      <c r="ED72" s="27" t="s">
        <v>1292</v>
      </c>
      <c r="EE72" s="22">
        <v>1</v>
      </c>
      <c r="EF72" s="49" t="s">
        <v>1293</v>
      </c>
    </row>
    <row r="73" spans="1:136" ht="15" customHeight="1" x14ac:dyDescent="0.25">
      <c r="A73" s="16" t="s">
        <v>2579</v>
      </c>
      <c r="B73" s="29" t="s">
        <v>2580</v>
      </c>
      <c r="C73" s="29" t="s">
        <v>2581</v>
      </c>
      <c r="D73" s="30">
        <v>58.6</v>
      </c>
      <c r="E73" s="30">
        <v>2.1</v>
      </c>
      <c r="F73" s="30">
        <v>0.1</v>
      </c>
      <c r="G73" s="30">
        <v>10.5</v>
      </c>
      <c r="H73" s="30">
        <v>3</v>
      </c>
      <c r="I73" s="30">
        <v>20</v>
      </c>
      <c r="J73" s="30">
        <v>0.9</v>
      </c>
      <c r="K73" s="30">
        <v>11</v>
      </c>
      <c r="L73" s="30">
        <v>78</v>
      </c>
      <c r="M73" s="30">
        <v>520</v>
      </c>
      <c r="N73" s="30">
        <v>5</v>
      </c>
      <c r="O73" s="30">
        <v>0.3</v>
      </c>
      <c r="P73" s="30"/>
      <c r="Q73" s="30"/>
      <c r="R73" s="30">
        <v>0.7</v>
      </c>
      <c r="S73" s="30">
        <v>3</v>
      </c>
      <c r="T73" s="30">
        <v>0.19</v>
      </c>
      <c r="U73" s="30">
        <v>7</v>
      </c>
      <c r="V73" s="30">
        <v>0.09</v>
      </c>
      <c r="W73" s="30">
        <v>0.08</v>
      </c>
      <c r="X73" s="30">
        <v>0.9</v>
      </c>
      <c r="Y73" s="30">
        <v>0.08</v>
      </c>
      <c r="Z73" s="30">
        <v>0</v>
      </c>
      <c r="AA73" s="30">
        <v>13</v>
      </c>
      <c r="AB73" s="31">
        <v>1193</v>
      </c>
      <c r="AC73" s="31" t="s">
        <v>2582</v>
      </c>
      <c r="AD73" s="31" t="s">
        <v>221</v>
      </c>
      <c r="AE73" s="31" t="s">
        <v>397</v>
      </c>
      <c r="AF73" s="31"/>
      <c r="AG73" s="31" t="s">
        <v>2583</v>
      </c>
      <c r="AH73" s="31" t="s">
        <v>2584</v>
      </c>
      <c r="AI73" s="31" t="s">
        <v>155</v>
      </c>
      <c r="AJ73" s="31" t="s">
        <v>156</v>
      </c>
      <c r="AK73" s="31" t="s">
        <v>157</v>
      </c>
      <c r="AL73" s="31" t="s">
        <v>314</v>
      </c>
      <c r="AM73" s="31"/>
      <c r="AN73" s="31" t="s">
        <v>160</v>
      </c>
      <c r="AO73" s="31" t="s">
        <v>2585</v>
      </c>
      <c r="AP73" s="31" t="s">
        <v>316</v>
      </c>
      <c r="AQ73" s="31" t="s">
        <v>162</v>
      </c>
      <c r="AR73" s="31">
        <v>15</v>
      </c>
      <c r="AS73" s="31">
        <v>27</v>
      </c>
      <c r="AT73" s="31">
        <v>7</v>
      </c>
      <c r="AU73" s="31">
        <v>30</v>
      </c>
      <c r="AV73" s="31">
        <v>700</v>
      </c>
      <c r="AW73" s="31">
        <v>1500</v>
      </c>
      <c r="AX73" s="31">
        <v>300</v>
      </c>
      <c r="AY73" s="31">
        <v>2000</v>
      </c>
      <c r="AZ73" s="31">
        <v>6</v>
      </c>
      <c r="BA73" s="31">
        <v>6.6</v>
      </c>
      <c r="BB73" s="31">
        <v>4.5</v>
      </c>
      <c r="BC73" s="31">
        <v>8.3000000000000007</v>
      </c>
      <c r="BD73" s="31">
        <v>20</v>
      </c>
      <c r="BE73" s="31"/>
      <c r="BF73" s="31">
        <v>50</v>
      </c>
      <c r="BG73" s="31">
        <v>50</v>
      </c>
      <c r="BH73" s="31">
        <v>3600</v>
      </c>
      <c r="BI73" s="31" t="s">
        <v>164</v>
      </c>
      <c r="BJ73" s="31" t="s">
        <v>164</v>
      </c>
      <c r="BK73" s="31" t="s">
        <v>163</v>
      </c>
      <c r="BL73" s="31" t="s">
        <v>165</v>
      </c>
      <c r="BM73" s="31" t="s">
        <v>166</v>
      </c>
      <c r="BN73" s="31"/>
      <c r="BO73" s="31" t="s">
        <v>167</v>
      </c>
      <c r="BP73" s="31" t="s">
        <v>203</v>
      </c>
      <c r="BQ73" s="31" t="s">
        <v>170</v>
      </c>
      <c r="BR73" s="31"/>
      <c r="BS73" s="31"/>
      <c r="BT73" s="31"/>
      <c r="BU73" s="31" t="s">
        <v>171</v>
      </c>
      <c r="BV73" s="31" t="s">
        <v>171</v>
      </c>
      <c r="BW73" s="31" t="s">
        <v>172</v>
      </c>
      <c r="BX73" s="31" t="s">
        <v>290</v>
      </c>
      <c r="BY73" s="31"/>
      <c r="BZ73" s="31"/>
      <c r="CA73" s="31" t="s">
        <v>291</v>
      </c>
      <c r="CB73" s="31" t="s">
        <v>1358</v>
      </c>
      <c r="CC73" s="31"/>
      <c r="CD73" s="31"/>
      <c r="CE73" s="31"/>
      <c r="CF73" s="31"/>
      <c r="CG73" s="31">
        <v>80</v>
      </c>
      <c r="CH73" s="31">
        <v>150</v>
      </c>
      <c r="CI73" s="32">
        <v>1.5</v>
      </c>
      <c r="CJ73" s="32">
        <v>3.5</v>
      </c>
      <c r="CK73" s="32">
        <v>0.5</v>
      </c>
      <c r="CL73" s="32">
        <v>1</v>
      </c>
      <c r="CM73" s="33" t="s">
        <v>2586</v>
      </c>
      <c r="CN73" s="34">
        <v>15</v>
      </c>
      <c r="CO73" s="34">
        <v>45</v>
      </c>
      <c r="CP73" s="35" t="s">
        <v>2587</v>
      </c>
      <c r="CQ73" s="35" t="s">
        <v>1472</v>
      </c>
      <c r="CR73" s="36">
        <v>5</v>
      </c>
      <c r="CS73" s="36">
        <v>3</v>
      </c>
      <c r="CT73" s="36">
        <v>5</v>
      </c>
      <c r="CU73" s="36">
        <v>2</v>
      </c>
      <c r="CV73" s="36">
        <v>2</v>
      </c>
      <c r="CW73" s="36">
        <v>0</v>
      </c>
      <c r="CX73" s="36">
        <v>2</v>
      </c>
      <c r="CY73" s="36">
        <v>8</v>
      </c>
      <c r="CZ73" s="36">
        <v>5</v>
      </c>
      <c r="DA73" s="37">
        <v>140</v>
      </c>
      <c r="DB73" s="37">
        <v>80</v>
      </c>
      <c r="DC73" s="37">
        <v>150</v>
      </c>
      <c r="DD73" s="37">
        <v>20</v>
      </c>
      <c r="DE73" s="37">
        <v>15</v>
      </c>
      <c r="DF73" s="37">
        <v>0</v>
      </c>
      <c r="DG73" s="37">
        <v>20</v>
      </c>
      <c r="DH73" s="37">
        <v>300</v>
      </c>
      <c r="DI73" s="37">
        <v>80</v>
      </c>
      <c r="DJ73" s="38" t="s">
        <v>2588</v>
      </c>
      <c r="DK73" s="39" t="s">
        <v>180</v>
      </c>
      <c r="DL73" s="40">
        <v>75</v>
      </c>
      <c r="DM73" s="39" t="s">
        <v>2589</v>
      </c>
      <c r="DN73" s="41"/>
      <c r="DO73" s="41"/>
      <c r="DP73" s="41"/>
      <c r="DQ73" s="41"/>
      <c r="DR73" s="24" t="s">
        <v>182</v>
      </c>
      <c r="DS73" s="25" t="s">
        <v>183</v>
      </c>
      <c r="DT73" s="25" t="s">
        <v>183</v>
      </c>
      <c r="DU73" s="25" t="s">
        <v>183</v>
      </c>
      <c r="DV73" s="24" t="s">
        <v>182</v>
      </c>
      <c r="DW73" s="41"/>
      <c r="DX73" s="41"/>
      <c r="DY73" s="41"/>
      <c r="DZ73" s="42" t="s">
        <v>2590</v>
      </c>
      <c r="EA73" s="42" t="s">
        <v>2591</v>
      </c>
      <c r="EB73" s="48" t="s">
        <v>239</v>
      </c>
      <c r="EC73" s="44" t="s">
        <v>2592</v>
      </c>
      <c r="ED73" s="45" t="s">
        <v>1166</v>
      </c>
      <c r="EE73" s="46">
        <v>1</v>
      </c>
      <c r="EF73" s="53" t="s">
        <v>275</v>
      </c>
    </row>
    <row r="74" spans="1:136" ht="15" customHeight="1" x14ac:dyDescent="0.25">
      <c r="A74" s="16" t="s">
        <v>190</v>
      </c>
      <c r="B74" s="29" t="s">
        <v>191</v>
      </c>
      <c r="C74" s="29" t="s">
        <v>192</v>
      </c>
      <c r="D74" s="30">
        <v>22</v>
      </c>
      <c r="E74" s="30">
        <v>1</v>
      </c>
      <c r="F74" s="30">
        <v>0.1</v>
      </c>
      <c r="G74" s="30">
        <v>3.3</v>
      </c>
      <c r="H74" s="30">
        <v>1.8</v>
      </c>
      <c r="I74" s="30">
        <v>20</v>
      </c>
      <c r="J74" s="30">
        <v>0.1</v>
      </c>
      <c r="K74" s="30">
        <v>10</v>
      </c>
      <c r="L74" s="30">
        <v>50</v>
      </c>
      <c r="M74" s="30">
        <v>280</v>
      </c>
      <c r="N74" s="30">
        <v>38</v>
      </c>
      <c r="O74" s="30">
        <v>0.1</v>
      </c>
      <c r="P74" s="30"/>
      <c r="Q74" s="30"/>
      <c r="R74" s="30">
        <v>0.7</v>
      </c>
      <c r="S74" s="30">
        <v>0</v>
      </c>
      <c r="T74" s="30">
        <v>0.57999999999999996</v>
      </c>
      <c r="U74" s="30">
        <v>9</v>
      </c>
      <c r="V74" s="30">
        <v>0.03</v>
      </c>
      <c r="W74" s="30">
        <v>0.03</v>
      </c>
      <c r="X74" s="30">
        <v>0.1</v>
      </c>
      <c r="Y74" s="30">
        <v>0.05</v>
      </c>
      <c r="Z74" s="30">
        <v>0</v>
      </c>
      <c r="AA74" s="30">
        <v>27</v>
      </c>
      <c r="AB74" s="31">
        <v>1107</v>
      </c>
      <c r="AC74" s="31" t="s">
        <v>193</v>
      </c>
      <c r="AD74" s="31" t="s">
        <v>194</v>
      </c>
      <c r="AE74" s="31" t="s">
        <v>195</v>
      </c>
      <c r="AF74" s="31" t="s">
        <v>196</v>
      </c>
      <c r="AG74" s="31" t="s">
        <v>197</v>
      </c>
      <c r="AH74" s="31" t="s">
        <v>198</v>
      </c>
      <c r="AI74" s="31" t="s">
        <v>155</v>
      </c>
      <c r="AJ74" s="31" t="s">
        <v>156</v>
      </c>
      <c r="AK74" s="31" t="s">
        <v>157</v>
      </c>
      <c r="AL74" s="31" t="s">
        <v>199</v>
      </c>
      <c r="AM74" s="31"/>
      <c r="AN74" s="31" t="s">
        <v>160</v>
      </c>
      <c r="AO74" s="31" t="s">
        <v>200</v>
      </c>
      <c r="AP74" s="31" t="s">
        <v>161</v>
      </c>
      <c r="AQ74" s="31" t="s">
        <v>162</v>
      </c>
      <c r="AR74" s="31">
        <v>15</v>
      </c>
      <c r="AS74" s="31">
        <v>25</v>
      </c>
      <c r="AT74" s="31">
        <v>6</v>
      </c>
      <c r="AU74" s="31">
        <v>32</v>
      </c>
      <c r="AV74" s="31">
        <v>700</v>
      </c>
      <c r="AW74" s="31">
        <v>1500</v>
      </c>
      <c r="AX74" s="31">
        <v>300</v>
      </c>
      <c r="AY74" s="31">
        <v>2600</v>
      </c>
      <c r="AZ74" s="31">
        <v>6.5</v>
      </c>
      <c r="BA74" s="31">
        <v>7.5</v>
      </c>
      <c r="BB74" s="31">
        <v>4.8</v>
      </c>
      <c r="BC74" s="31">
        <v>8.1999999999999993</v>
      </c>
      <c r="BD74" s="31"/>
      <c r="BE74" s="31"/>
      <c r="BF74" s="31">
        <v>45</v>
      </c>
      <c r="BG74" s="31">
        <v>45</v>
      </c>
      <c r="BH74" s="31">
        <v>2500</v>
      </c>
      <c r="BI74" s="31" t="s">
        <v>163</v>
      </c>
      <c r="BJ74" s="31" t="s">
        <v>163</v>
      </c>
      <c r="BK74" s="31" t="s">
        <v>163</v>
      </c>
      <c r="BL74" s="31" t="s">
        <v>164</v>
      </c>
      <c r="BM74" s="31" t="s">
        <v>166</v>
      </c>
      <c r="BN74" s="31" t="s">
        <v>201</v>
      </c>
      <c r="BO74" s="31" t="s">
        <v>202</v>
      </c>
      <c r="BP74" s="31" t="s">
        <v>203</v>
      </c>
      <c r="BQ74" s="31" t="s">
        <v>169</v>
      </c>
      <c r="BR74" s="31" t="s">
        <v>170</v>
      </c>
      <c r="BS74" s="31"/>
      <c r="BT74" s="31"/>
      <c r="BU74" s="31" t="s">
        <v>171</v>
      </c>
      <c r="BV74" s="31" t="s">
        <v>171</v>
      </c>
      <c r="BW74" s="31" t="s">
        <v>172</v>
      </c>
      <c r="BX74" s="31" t="s">
        <v>172</v>
      </c>
      <c r="BY74" s="31">
        <v>-5</v>
      </c>
      <c r="BZ74" s="31">
        <v>-2</v>
      </c>
      <c r="CA74" s="31" t="s">
        <v>204</v>
      </c>
      <c r="CB74" s="31" t="s">
        <v>205</v>
      </c>
      <c r="CC74" s="31"/>
      <c r="CD74" s="31"/>
      <c r="CE74" s="31"/>
      <c r="CF74" s="31" t="s">
        <v>206</v>
      </c>
      <c r="CG74" s="31">
        <v>30</v>
      </c>
      <c r="CH74" s="31">
        <v>110</v>
      </c>
      <c r="CI74" s="32">
        <v>0.9</v>
      </c>
      <c r="CJ74" s="32">
        <v>2</v>
      </c>
      <c r="CK74" s="32">
        <v>0.4</v>
      </c>
      <c r="CL74" s="32">
        <v>0.8</v>
      </c>
      <c r="CM74" s="33" t="s">
        <v>207</v>
      </c>
      <c r="CN74" s="34">
        <v>10</v>
      </c>
      <c r="CO74" s="34">
        <v>35</v>
      </c>
      <c r="CP74" s="35" t="s">
        <v>208</v>
      </c>
      <c r="CQ74" s="35" t="s">
        <v>209</v>
      </c>
      <c r="CR74" s="36">
        <v>5</v>
      </c>
      <c r="CS74" s="36">
        <v>5</v>
      </c>
      <c r="CT74" s="36">
        <v>6</v>
      </c>
      <c r="CU74" s="36">
        <v>3</v>
      </c>
      <c r="CV74" s="36">
        <v>3</v>
      </c>
      <c r="CW74" s="36">
        <v>0</v>
      </c>
      <c r="CX74" s="36">
        <v>4</v>
      </c>
      <c r="CY74" s="36">
        <v>10</v>
      </c>
      <c r="CZ74" s="36">
        <v>5</v>
      </c>
      <c r="DA74" s="37">
        <v>130</v>
      </c>
      <c r="DB74" s="37">
        <v>120</v>
      </c>
      <c r="DC74" s="37">
        <v>200</v>
      </c>
      <c r="DD74" s="37">
        <v>25</v>
      </c>
      <c r="DE74" s="37">
        <v>25</v>
      </c>
      <c r="DF74" s="37">
        <v>0</v>
      </c>
      <c r="DG74" s="37">
        <v>40</v>
      </c>
      <c r="DH74" s="37">
        <v>280</v>
      </c>
      <c r="DI74" s="37">
        <v>80</v>
      </c>
      <c r="DJ74" s="38" t="s">
        <v>210</v>
      </c>
      <c r="DK74" s="39" t="s">
        <v>180</v>
      </c>
      <c r="DL74" s="40">
        <v>75</v>
      </c>
      <c r="DM74" s="39" t="s">
        <v>211</v>
      </c>
      <c r="DN74" s="41"/>
      <c r="DO74" s="41"/>
      <c r="DP74" s="41"/>
      <c r="DQ74" s="24" t="s">
        <v>182</v>
      </c>
      <c r="DR74" s="25" t="s">
        <v>183</v>
      </c>
      <c r="DS74" s="25" t="s">
        <v>183</v>
      </c>
      <c r="DT74" s="25" t="s">
        <v>183</v>
      </c>
      <c r="DU74" s="25" t="s">
        <v>183</v>
      </c>
      <c r="DV74" s="25" t="s">
        <v>183</v>
      </c>
      <c r="DW74" s="24" t="s">
        <v>182</v>
      </c>
      <c r="DX74" s="41"/>
      <c r="DY74" s="41"/>
      <c r="DZ74" s="42" t="s">
        <v>212</v>
      </c>
      <c r="EA74" s="42" t="s">
        <v>213</v>
      </c>
      <c r="EB74" s="43" t="s">
        <v>214</v>
      </c>
      <c r="EC74" s="44" t="s">
        <v>215</v>
      </c>
      <c r="ED74" s="45" t="s">
        <v>216</v>
      </c>
      <c r="EE74" s="46">
        <v>2</v>
      </c>
      <c r="EF74" s="47" t="s">
        <v>217</v>
      </c>
    </row>
    <row r="75" spans="1:136" ht="15" customHeight="1" x14ac:dyDescent="0.25">
      <c r="A75" s="16" t="s">
        <v>1731</v>
      </c>
      <c r="B75" s="17" t="s">
        <v>1700</v>
      </c>
      <c r="C75" s="17" t="s">
        <v>1732</v>
      </c>
      <c r="D75" s="18">
        <v>30.6</v>
      </c>
      <c r="E75" s="18">
        <v>2.2000000000000002</v>
      </c>
      <c r="F75" s="18">
        <v>0.3</v>
      </c>
      <c r="G75" s="18">
        <v>3.2</v>
      </c>
      <c r="H75" s="18">
        <v>3.1</v>
      </c>
      <c r="I75" s="18">
        <v>35</v>
      </c>
      <c r="J75" s="18">
        <v>0.6</v>
      </c>
      <c r="K75" s="18">
        <v>14</v>
      </c>
      <c r="L75" s="18">
        <v>30</v>
      </c>
      <c r="M75" s="18">
        <v>450</v>
      </c>
      <c r="N75" s="18">
        <v>16</v>
      </c>
      <c r="O75" s="18">
        <v>0.3</v>
      </c>
      <c r="P75" s="18"/>
      <c r="Q75" s="18"/>
      <c r="R75" s="18">
        <v>0.6</v>
      </c>
      <c r="S75" s="18">
        <v>1</v>
      </c>
      <c r="T75" s="18">
        <v>0.11</v>
      </c>
      <c r="U75" s="18">
        <v>65</v>
      </c>
      <c r="V75" s="18">
        <v>0.09</v>
      </c>
      <c r="W75" s="18">
        <v>0.13</v>
      </c>
      <c r="X75" s="18">
        <v>0.5</v>
      </c>
      <c r="Y75" s="18">
        <v>0.21</v>
      </c>
      <c r="Z75" s="18">
        <v>0</v>
      </c>
      <c r="AA75" s="18">
        <v>57</v>
      </c>
      <c r="AB75" s="18">
        <v>554</v>
      </c>
      <c r="AC75" s="18" t="s">
        <v>1733</v>
      </c>
      <c r="AD75" s="18" t="s">
        <v>1734</v>
      </c>
      <c r="AE75" s="18" t="s">
        <v>152</v>
      </c>
      <c r="AF75" s="18" t="s">
        <v>1735</v>
      </c>
      <c r="AG75" s="18" t="s">
        <v>1736</v>
      </c>
      <c r="AH75" s="18" t="s">
        <v>1737</v>
      </c>
      <c r="AI75" s="18" t="s">
        <v>155</v>
      </c>
      <c r="AJ75" s="18" t="s">
        <v>156</v>
      </c>
      <c r="AK75" s="18" t="s">
        <v>1357</v>
      </c>
      <c r="AL75" s="18" t="s">
        <v>227</v>
      </c>
      <c r="AM75" s="18"/>
      <c r="AN75" s="18" t="s">
        <v>160</v>
      </c>
      <c r="AO75" s="18" t="s">
        <v>161</v>
      </c>
      <c r="AP75" s="18" t="s">
        <v>161</v>
      </c>
      <c r="AQ75" s="18" t="s">
        <v>362</v>
      </c>
      <c r="AR75" s="18">
        <v>15</v>
      </c>
      <c r="AS75" s="18">
        <v>24</v>
      </c>
      <c r="AT75" s="18">
        <v>7</v>
      </c>
      <c r="AU75" s="18">
        <v>32</v>
      </c>
      <c r="AV75" s="18">
        <v>500</v>
      </c>
      <c r="AW75" s="18">
        <v>1000</v>
      </c>
      <c r="AX75" s="18">
        <v>300</v>
      </c>
      <c r="AY75" s="18">
        <v>2500</v>
      </c>
      <c r="AZ75" s="18">
        <v>6</v>
      </c>
      <c r="BA75" s="18">
        <v>7.5</v>
      </c>
      <c r="BB75" s="18">
        <v>5</v>
      </c>
      <c r="BC75" s="18">
        <v>8.3000000000000007</v>
      </c>
      <c r="BD75" s="18">
        <v>35</v>
      </c>
      <c r="BE75" s="18"/>
      <c r="BF75" s="18">
        <v>55</v>
      </c>
      <c r="BG75" s="18">
        <v>60</v>
      </c>
      <c r="BH75" s="18">
        <v>2000</v>
      </c>
      <c r="BI75" s="18" t="s">
        <v>164</v>
      </c>
      <c r="BJ75" s="18" t="s">
        <v>164</v>
      </c>
      <c r="BK75" s="18" t="s">
        <v>163</v>
      </c>
      <c r="BL75" s="18" t="s">
        <v>317</v>
      </c>
      <c r="BM75" s="18" t="s">
        <v>201</v>
      </c>
      <c r="BN75" s="18" t="s">
        <v>201</v>
      </c>
      <c r="BO75" s="18" t="s">
        <v>167</v>
      </c>
      <c r="BP75" s="18" t="s">
        <v>203</v>
      </c>
      <c r="BQ75" s="18" t="s">
        <v>169</v>
      </c>
      <c r="BR75" s="18" t="s">
        <v>170</v>
      </c>
      <c r="BS75" s="18"/>
      <c r="BT75" s="18"/>
      <c r="BU75" s="18" t="s">
        <v>171</v>
      </c>
      <c r="BV75" s="18" t="s">
        <v>171</v>
      </c>
      <c r="BW75" s="18" t="s">
        <v>172</v>
      </c>
      <c r="BX75" s="18" t="s">
        <v>172</v>
      </c>
      <c r="BY75" s="18">
        <v>-10</v>
      </c>
      <c r="BZ75" s="18">
        <v>-1</v>
      </c>
      <c r="CA75" s="18" t="s">
        <v>1511</v>
      </c>
      <c r="CB75" s="18" t="s">
        <v>790</v>
      </c>
      <c r="CC75" s="18"/>
      <c r="CD75" s="18"/>
      <c r="CE75" s="18"/>
      <c r="CF75" s="18"/>
      <c r="CG75" s="18">
        <v>60</v>
      </c>
      <c r="CH75" s="18">
        <v>200</v>
      </c>
      <c r="CI75" s="19">
        <v>0.3</v>
      </c>
      <c r="CJ75" s="19">
        <v>0.7</v>
      </c>
      <c r="CK75" s="19">
        <v>0.4</v>
      </c>
      <c r="CL75" s="19">
        <v>0.8</v>
      </c>
      <c r="CM75" s="17" t="s">
        <v>1738</v>
      </c>
      <c r="CN75" s="20">
        <v>20</v>
      </c>
      <c r="CO75" s="20">
        <v>60</v>
      </c>
      <c r="CP75" s="17" t="s">
        <v>1739</v>
      </c>
      <c r="CQ75" s="17" t="s">
        <v>209</v>
      </c>
      <c r="CR75" s="21">
        <v>5</v>
      </c>
      <c r="CS75" s="21">
        <v>5</v>
      </c>
      <c r="CT75" s="21">
        <v>6</v>
      </c>
      <c r="CU75" s="21">
        <v>3</v>
      </c>
      <c r="CV75" s="21">
        <v>4</v>
      </c>
      <c r="CW75" s="21">
        <v>0</v>
      </c>
      <c r="CX75" s="21">
        <v>4</v>
      </c>
      <c r="CY75" s="21">
        <v>8</v>
      </c>
      <c r="CZ75" s="21">
        <v>5</v>
      </c>
      <c r="DA75" s="21">
        <v>140</v>
      </c>
      <c r="DB75" s="21">
        <v>120</v>
      </c>
      <c r="DC75" s="21">
        <v>200</v>
      </c>
      <c r="DD75" s="21">
        <v>25</v>
      </c>
      <c r="DE75" s="21">
        <v>30</v>
      </c>
      <c r="DF75" s="21">
        <v>0</v>
      </c>
      <c r="DG75" s="21">
        <v>40</v>
      </c>
      <c r="DH75" s="21">
        <v>280</v>
      </c>
      <c r="DI75" s="21">
        <v>100</v>
      </c>
      <c r="DJ75" s="17" t="s">
        <v>837</v>
      </c>
      <c r="DK75" s="17" t="s">
        <v>180</v>
      </c>
      <c r="DL75" s="22">
        <v>75</v>
      </c>
      <c r="DM75" s="17" t="s">
        <v>1740</v>
      </c>
      <c r="DN75" s="23"/>
      <c r="DO75" s="23"/>
      <c r="DP75" s="23"/>
      <c r="DQ75" s="23"/>
      <c r="DR75" s="24" t="s">
        <v>182</v>
      </c>
      <c r="DS75" s="25" t="s">
        <v>183</v>
      </c>
      <c r="DT75" s="25" t="s">
        <v>183</v>
      </c>
      <c r="DU75" s="25" t="s">
        <v>183</v>
      </c>
      <c r="DV75" s="25" t="s">
        <v>183</v>
      </c>
      <c r="DW75" s="24" t="s">
        <v>182</v>
      </c>
      <c r="DX75" s="23"/>
      <c r="DY75" s="23"/>
      <c r="DZ75" s="17" t="s">
        <v>1741</v>
      </c>
      <c r="EA75" s="17" t="s">
        <v>1742</v>
      </c>
      <c r="EB75" s="48" t="s">
        <v>239</v>
      </c>
      <c r="EC75" s="17" t="s">
        <v>1743</v>
      </c>
      <c r="ED75" s="27" t="s">
        <v>1166</v>
      </c>
      <c r="EE75" s="22">
        <v>3</v>
      </c>
      <c r="EF75" s="49" t="s">
        <v>352</v>
      </c>
    </row>
    <row r="76" spans="1:136" ht="15" customHeight="1" x14ac:dyDescent="0.25">
      <c r="A76" s="16" t="s">
        <v>1912</v>
      </c>
      <c r="B76" s="17" t="s">
        <v>2580</v>
      </c>
      <c r="C76" s="17" t="s">
        <v>2609</v>
      </c>
      <c r="D76" s="18">
        <v>86</v>
      </c>
      <c r="E76" s="18">
        <v>1.57</v>
      </c>
      <c r="F76" s="18">
        <v>20.12</v>
      </c>
      <c r="G76" s="18">
        <v>3</v>
      </c>
      <c r="H76" s="18">
        <v>0.05</v>
      </c>
      <c r="I76" s="18">
        <v>30</v>
      </c>
      <c r="J76" s="18">
        <v>0.61</v>
      </c>
      <c r="K76" s="18">
        <v>25</v>
      </c>
      <c r="L76" s="18">
        <v>47</v>
      </c>
      <c r="M76" s="18">
        <v>337</v>
      </c>
      <c r="N76" s="18">
        <v>55</v>
      </c>
      <c r="O76" s="18">
        <v>0.3</v>
      </c>
      <c r="P76" s="18">
        <v>0.151</v>
      </c>
      <c r="Q76" s="18">
        <v>0.25800000000000001</v>
      </c>
      <c r="R76" s="18">
        <v>0.6</v>
      </c>
      <c r="S76" s="18">
        <v>14187</v>
      </c>
      <c r="T76" s="18">
        <v>0.26</v>
      </c>
      <c r="U76" s="18">
        <v>2.4</v>
      </c>
      <c r="V76" s="18">
        <v>7.8E-2</v>
      </c>
      <c r="W76" s="18">
        <v>6.0999999999999999E-2</v>
      </c>
      <c r="X76" s="18">
        <v>0.55700000000000005</v>
      </c>
      <c r="Y76" s="18">
        <v>0.20899999999999999</v>
      </c>
      <c r="Z76" s="18">
        <v>0</v>
      </c>
      <c r="AA76" s="18">
        <v>11</v>
      </c>
      <c r="AB76" s="18">
        <v>0</v>
      </c>
      <c r="AC76" s="18">
        <v>0</v>
      </c>
      <c r="AD76" s="18">
        <v>0</v>
      </c>
      <c r="AE76" s="18">
        <v>0</v>
      </c>
      <c r="AF76" s="18">
        <v>0</v>
      </c>
      <c r="AG76" s="18">
        <v>0</v>
      </c>
      <c r="AH76" s="18">
        <v>0</v>
      </c>
      <c r="AI76" s="18">
        <v>0</v>
      </c>
      <c r="AJ76" s="18">
        <v>0</v>
      </c>
      <c r="AK76" s="18">
        <v>0</v>
      </c>
      <c r="AL76" s="18">
        <v>0</v>
      </c>
      <c r="AM76" s="18">
        <v>0</v>
      </c>
      <c r="AN76" s="18">
        <v>0</v>
      </c>
      <c r="AO76" s="18">
        <v>0</v>
      </c>
      <c r="AP76" s="18">
        <v>0</v>
      </c>
      <c r="AQ76" s="18">
        <v>0</v>
      </c>
      <c r="AR76" s="18">
        <v>0</v>
      </c>
      <c r="AS76" s="18">
        <v>0</v>
      </c>
      <c r="AT76" s="18">
        <v>0</v>
      </c>
      <c r="AU76" s="18">
        <v>0</v>
      </c>
      <c r="AV76" s="18">
        <v>0</v>
      </c>
      <c r="AW76" s="18">
        <v>0</v>
      </c>
      <c r="AX76" s="18">
        <v>0</v>
      </c>
      <c r="AY76" s="18">
        <v>0</v>
      </c>
      <c r="AZ76" s="18">
        <v>0</v>
      </c>
      <c r="BA76" s="18">
        <v>0</v>
      </c>
      <c r="BB76" s="18">
        <v>0</v>
      </c>
      <c r="BC76" s="18">
        <v>0</v>
      </c>
      <c r="BD76" s="18">
        <v>0</v>
      </c>
      <c r="BE76" s="18">
        <v>0</v>
      </c>
      <c r="BF76" s="18">
        <v>0</v>
      </c>
      <c r="BG76" s="18">
        <v>0</v>
      </c>
      <c r="BH76" s="18">
        <v>0</v>
      </c>
      <c r="BI76" s="18">
        <v>0</v>
      </c>
      <c r="BJ76" s="18">
        <v>0</v>
      </c>
      <c r="BK76" s="18">
        <v>0</v>
      </c>
      <c r="BL76" s="18">
        <v>0</v>
      </c>
      <c r="BM76" s="18">
        <v>0</v>
      </c>
      <c r="BN76" s="18">
        <v>0</v>
      </c>
      <c r="BO76" s="51">
        <v>0</v>
      </c>
      <c r="BP76" s="51">
        <v>0</v>
      </c>
      <c r="BQ76" s="51">
        <v>0</v>
      </c>
      <c r="BR76" s="51">
        <v>0</v>
      </c>
      <c r="BS76" s="51">
        <v>0</v>
      </c>
      <c r="BT76" s="51">
        <v>0</v>
      </c>
      <c r="BU76" s="51">
        <v>0</v>
      </c>
      <c r="BV76" s="51">
        <v>0</v>
      </c>
      <c r="BW76" s="51">
        <v>0</v>
      </c>
      <c r="BX76" s="51">
        <v>0</v>
      </c>
      <c r="BY76" s="51">
        <v>0</v>
      </c>
      <c r="BZ76" s="51">
        <v>0</v>
      </c>
      <c r="CA76" s="51">
        <v>0</v>
      </c>
      <c r="CB76" s="51">
        <v>0</v>
      </c>
      <c r="CC76" s="51">
        <v>0</v>
      </c>
      <c r="CD76" s="51">
        <v>0</v>
      </c>
      <c r="CE76" s="51">
        <v>0</v>
      </c>
      <c r="CF76" s="51">
        <v>0</v>
      </c>
      <c r="CG76" s="51">
        <v>0</v>
      </c>
      <c r="CH76" s="51">
        <v>0</v>
      </c>
      <c r="CI76" s="32">
        <v>0.3</v>
      </c>
      <c r="CJ76" s="32">
        <v>0.5</v>
      </c>
      <c r="CK76" s="32">
        <v>1.5</v>
      </c>
      <c r="CL76" s="32">
        <v>4</v>
      </c>
      <c r="CM76" s="33" t="s">
        <v>1440</v>
      </c>
      <c r="CN76" s="34">
        <v>5</v>
      </c>
      <c r="CO76" s="34">
        <v>40</v>
      </c>
      <c r="CP76" s="35" t="s">
        <v>1914</v>
      </c>
      <c r="CQ76" s="35" t="s">
        <v>209</v>
      </c>
      <c r="CR76" s="36">
        <v>6</v>
      </c>
      <c r="CS76" s="36">
        <v>8</v>
      </c>
      <c r="CT76" s="36">
        <v>8</v>
      </c>
      <c r="CU76" s="36">
        <v>2</v>
      </c>
      <c r="CV76" s="36">
        <v>3</v>
      </c>
      <c r="CW76" s="36">
        <v>0</v>
      </c>
      <c r="CX76" s="36">
        <v>3</v>
      </c>
      <c r="CY76" s="36">
        <v>10</v>
      </c>
      <c r="CZ76" s="36">
        <v>5</v>
      </c>
      <c r="DA76" s="37">
        <v>160</v>
      </c>
      <c r="DB76" s="37">
        <v>200</v>
      </c>
      <c r="DC76" s="37">
        <v>250</v>
      </c>
      <c r="DD76" s="37">
        <v>25</v>
      </c>
      <c r="DE76" s="37">
        <v>25</v>
      </c>
      <c r="DF76" s="37">
        <v>0</v>
      </c>
      <c r="DG76" s="37">
        <v>30</v>
      </c>
      <c r="DH76" s="37">
        <v>350</v>
      </c>
      <c r="DI76" s="37">
        <v>100</v>
      </c>
      <c r="DJ76" s="38" t="s">
        <v>1915</v>
      </c>
      <c r="DK76" s="39" t="s">
        <v>180</v>
      </c>
      <c r="DL76" s="40">
        <v>75</v>
      </c>
      <c r="DM76" s="39" t="s">
        <v>1916</v>
      </c>
      <c r="DN76" s="41"/>
      <c r="DO76" s="24" t="s">
        <v>182</v>
      </c>
      <c r="DP76" s="25" t="s">
        <v>183</v>
      </c>
      <c r="DQ76" s="25" t="s">
        <v>183</v>
      </c>
      <c r="DR76" s="25" t="s">
        <v>183</v>
      </c>
      <c r="DS76" s="24" t="s">
        <v>182</v>
      </c>
      <c r="DT76" s="41"/>
      <c r="DU76" s="41"/>
      <c r="DV76" s="41"/>
      <c r="DW76" s="41"/>
      <c r="DX76" s="41"/>
      <c r="DY76" s="41"/>
      <c r="DZ76" s="42" t="s">
        <v>1917</v>
      </c>
      <c r="EA76" s="42" t="s">
        <v>1918</v>
      </c>
      <c r="EB76" s="48" t="s">
        <v>239</v>
      </c>
      <c r="EC76" s="44" t="s">
        <v>1919</v>
      </c>
      <c r="ED76" s="45" t="s">
        <v>1273</v>
      </c>
      <c r="EE76" s="46">
        <v>2</v>
      </c>
      <c r="EF76" s="50" t="s">
        <v>242</v>
      </c>
    </row>
    <row r="77" spans="1:136" ht="15" customHeight="1" x14ac:dyDescent="0.25">
      <c r="A77" s="16" t="s">
        <v>1365</v>
      </c>
      <c r="B77" s="17" t="s">
        <v>409</v>
      </c>
      <c r="C77" s="17" t="s">
        <v>1366</v>
      </c>
      <c r="D77" s="18">
        <v>94</v>
      </c>
      <c r="E77" s="18">
        <v>2.06</v>
      </c>
      <c r="F77" s="18">
        <v>23.64</v>
      </c>
      <c r="G77" s="18">
        <v>4.4000000000000004</v>
      </c>
      <c r="H77" s="18">
        <v>0.28999999999999998</v>
      </c>
      <c r="I77" s="18">
        <v>24</v>
      </c>
      <c r="J77" s="18">
        <v>0.6</v>
      </c>
      <c r="K77" s="18">
        <v>21</v>
      </c>
      <c r="L77" s="18">
        <v>32</v>
      </c>
      <c r="M77" s="18">
        <v>247</v>
      </c>
      <c r="N77" s="18">
        <v>9</v>
      </c>
      <c r="O77" s="18">
        <v>0.1</v>
      </c>
      <c r="P77" s="18">
        <v>8.5999999999999993E-2</v>
      </c>
      <c r="Q77" s="18">
        <v>0</v>
      </c>
      <c r="R77" s="18">
        <v>0.6</v>
      </c>
      <c r="S77" s="18">
        <v>6</v>
      </c>
      <c r="T77" s="18">
        <v>0</v>
      </c>
      <c r="U77" s="18">
        <v>36.299999999999997</v>
      </c>
      <c r="V77" s="18">
        <v>0.11</v>
      </c>
      <c r="W77" s="18">
        <v>0.113</v>
      </c>
      <c r="X77" s="18">
        <v>0.88300000000000001</v>
      </c>
      <c r="Y77" s="18">
        <v>0.2</v>
      </c>
      <c r="Z77" s="18">
        <v>0</v>
      </c>
      <c r="AA77" s="18">
        <v>14</v>
      </c>
      <c r="AB77" s="18">
        <v>414</v>
      </c>
      <c r="AC77" s="18" t="s">
        <v>1367</v>
      </c>
      <c r="AD77" s="18" t="s">
        <v>221</v>
      </c>
      <c r="AE77" s="18" t="s">
        <v>618</v>
      </c>
      <c r="AF77" s="18">
        <v>0</v>
      </c>
      <c r="AG77" s="18" t="s">
        <v>1368</v>
      </c>
      <c r="AH77" s="18" t="s">
        <v>1369</v>
      </c>
      <c r="AI77" s="18" t="s">
        <v>155</v>
      </c>
      <c r="AJ77" s="18" t="s">
        <v>621</v>
      </c>
      <c r="AK77" s="18" t="s">
        <v>157</v>
      </c>
      <c r="AL77" s="18" t="s">
        <v>314</v>
      </c>
      <c r="AM77" s="18">
        <v>0</v>
      </c>
      <c r="AN77" s="18" t="s">
        <v>1370</v>
      </c>
      <c r="AO77" s="18" t="s">
        <v>419</v>
      </c>
      <c r="AP77" s="18" t="s">
        <v>419</v>
      </c>
      <c r="AQ77" s="18" t="s">
        <v>341</v>
      </c>
      <c r="AR77" s="18">
        <v>23</v>
      </c>
      <c r="AS77" s="18">
        <v>30</v>
      </c>
      <c r="AT77" s="18">
        <v>11</v>
      </c>
      <c r="AU77" s="18">
        <v>41</v>
      </c>
      <c r="AV77" s="18">
        <v>800</v>
      </c>
      <c r="AW77" s="18">
        <v>1200</v>
      </c>
      <c r="AX77" s="18">
        <v>570</v>
      </c>
      <c r="AY77" s="18">
        <v>4000</v>
      </c>
      <c r="AZ77" s="18">
        <v>7</v>
      </c>
      <c r="BA77" s="18">
        <v>8</v>
      </c>
      <c r="BB77" s="18">
        <v>4.3</v>
      </c>
      <c r="BC77" s="18">
        <v>8.5</v>
      </c>
      <c r="BD77" s="18">
        <v>0</v>
      </c>
      <c r="BE77" s="18">
        <v>0</v>
      </c>
      <c r="BF77" s="18">
        <v>15</v>
      </c>
      <c r="BG77" s="18">
        <v>25</v>
      </c>
      <c r="BH77" s="18">
        <v>1000</v>
      </c>
      <c r="BI77" s="18" t="s">
        <v>163</v>
      </c>
      <c r="BJ77" s="18" t="s">
        <v>164</v>
      </c>
      <c r="BK77" s="18" t="s">
        <v>163</v>
      </c>
      <c r="BL77" s="18" t="s">
        <v>165</v>
      </c>
      <c r="BM77" s="18" t="s">
        <v>288</v>
      </c>
      <c r="BN77" s="18" t="s">
        <v>201</v>
      </c>
      <c r="BO77" s="51" t="s">
        <v>250</v>
      </c>
      <c r="BP77" s="51" t="s">
        <v>203</v>
      </c>
      <c r="BQ77" s="51" t="s">
        <v>169</v>
      </c>
      <c r="BR77" s="51" t="s">
        <v>170</v>
      </c>
      <c r="BS77" s="51">
        <v>0</v>
      </c>
      <c r="BT77" s="51">
        <v>0</v>
      </c>
      <c r="BU77" s="51" t="s">
        <v>171</v>
      </c>
      <c r="BV77" s="51" t="s">
        <v>171</v>
      </c>
      <c r="BW77" s="51" t="s">
        <v>172</v>
      </c>
      <c r="BX77" s="51" t="s">
        <v>172</v>
      </c>
      <c r="BY77" s="51">
        <v>0</v>
      </c>
      <c r="BZ77" s="51">
        <v>0</v>
      </c>
      <c r="CA77" s="51" t="s">
        <v>291</v>
      </c>
      <c r="CB77" s="51" t="s">
        <v>1235</v>
      </c>
      <c r="CC77" s="51">
        <v>0</v>
      </c>
      <c r="CD77" s="51" t="s">
        <v>964</v>
      </c>
      <c r="CE77" s="51">
        <v>0</v>
      </c>
      <c r="CF77" s="51" t="s">
        <v>850</v>
      </c>
      <c r="CG77" s="51">
        <v>210</v>
      </c>
      <c r="CH77" s="51">
        <v>270</v>
      </c>
      <c r="CI77" s="32">
        <v>3</v>
      </c>
      <c r="CJ77" s="32">
        <v>8</v>
      </c>
      <c r="CK77" s="32">
        <v>3</v>
      </c>
      <c r="CL77" s="32">
        <v>6</v>
      </c>
      <c r="CM77" s="33" t="s">
        <v>735</v>
      </c>
      <c r="CN77" s="34">
        <v>5</v>
      </c>
      <c r="CO77" s="34">
        <v>15</v>
      </c>
      <c r="CP77" s="35" t="s">
        <v>1324</v>
      </c>
      <c r="CQ77" s="35" t="s">
        <v>296</v>
      </c>
      <c r="CR77" s="36">
        <v>0</v>
      </c>
      <c r="CS77" s="36">
        <v>0</v>
      </c>
      <c r="CT77" s="36">
        <v>5</v>
      </c>
      <c r="CU77" s="36">
        <v>3</v>
      </c>
      <c r="CV77" s="36">
        <v>5</v>
      </c>
      <c r="CW77" s="36">
        <v>10</v>
      </c>
      <c r="CX77" s="36">
        <v>4</v>
      </c>
      <c r="CY77" s="36">
        <v>15</v>
      </c>
      <c r="CZ77" s="36">
        <v>6</v>
      </c>
      <c r="DA77" s="37">
        <v>0</v>
      </c>
      <c r="DB77" s="37">
        <v>0</v>
      </c>
      <c r="DC77" s="37">
        <v>40</v>
      </c>
      <c r="DD77" s="37">
        <v>20</v>
      </c>
      <c r="DE77" s="37">
        <v>35</v>
      </c>
      <c r="DF77" s="37">
        <v>80</v>
      </c>
      <c r="DG77" s="37">
        <v>30</v>
      </c>
      <c r="DH77" s="37">
        <v>300</v>
      </c>
      <c r="DI77" s="37">
        <v>60</v>
      </c>
      <c r="DJ77" s="38" t="s">
        <v>1238</v>
      </c>
      <c r="DK77" s="39" t="s">
        <v>409</v>
      </c>
      <c r="DL77" s="40">
        <v>150</v>
      </c>
      <c r="DM77" s="39" t="s">
        <v>1371</v>
      </c>
      <c r="DN77" s="24" t="s">
        <v>182</v>
      </c>
      <c r="DO77" s="25" t="s">
        <v>183</v>
      </c>
      <c r="DP77" s="25" t="s">
        <v>183</v>
      </c>
      <c r="DQ77" s="25" t="s">
        <v>183</v>
      </c>
      <c r="DR77" s="24" t="s">
        <v>182</v>
      </c>
      <c r="DS77" s="41"/>
      <c r="DT77" s="41"/>
      <c r="DU77" s="41"/>
      <c r="DV77" s="41"/>
      <c r="DW77" s="41"/>
      <c r="DX77" s="41"/>
      <c r="DY77" s="41"/>
      <c r="DZ77" s="42" t="s">
        <v>1372</v>
      </c>
      <c r="EA77" s="42" t="s">
        <v>1373</v>
      </c>
      <c r="EB77" s="43" t="s">
        <v>214</v>
      </c>
      <c r="EC77" s="44" t="s">
        <v>630</v>
      </c>
      <c r="ED77" s="45" t="s">
        <v>475</v>
      </c>
      <c r="EE77" s="46">
        <v>3</v>
      </c>
      <c r="EF77" s="56" t="s">
        <v>497</v>
      </c>
    </row>
    <row r="78" spans="1:136" ht="15" customHeight="1" x14ac:dyDescent="0.25">
      <c r="A78" s="16" t="s">
        <v>875</v>
      </c>
      <c r="B78" s="17" t="s">
        <v>409</v>
      </c>
      <c r="C78" s="17" t="s">
        <v>876</v>
      </c>
      <c r="D78" s="18">
        <v>34.4</v>
      </c>
      <c r="E78" s="18">
        <v>0.7</v>
      </c>
      <c r="F78" s="18">
        <v>0.5</v>
      </c>
      <c r="G78" s="18">
        <v>3.5</v>
      </c>
      <c r="H78" s="18">
        <v>5.4</v>
      </c>
      <c r="I78" s="18">
        <v>10</v>
      </c>
      <c r="J78" s="18">
        <v>0.2</v>
      </c>
      <c r="K78" s="18">
        <v>12</v>
      </c>
      <c r="L78" s="18">
        <v>40</v>
      </c>
      <c r="M78" s="18">
        <v>150</v>
      </c>
      <c r="N78" s="18">
        <v>4</v>
      </c>
      <c r="O78" s="18">
        <v>0.1</v>
      </c>
      <c r="P78" s="18"/>
      <c r="Q78" s="18"/>
      <c r="R78" s="18">
        <v>0.6</v>
      </c>
      <c r="S78" s="18">
        <v>72</v>
      </c>
      <c r="T78" s="18">
        <v>0.73</v>
      </c>
      <c r="U78" s="18">
        <v>243</v>
      </c>
      <c r="V78" s="18">
        <v>0.03</v>
      </c>
      <c r="W78" s="18">
        <v>0.04</v>
      </c>
      <c r="X78" s="18">
        <v>1</v>
      </c>
      <c r="Y78" s="18">
        <v>0.11</v>
      </c>
      <c r="Z78" s="18">
        <v>0</v>
      </c>
      <c r="AA78" s="18">
        <v>49</v>
      </c>
      <c r="AB78" s="18">
        <v>1804</v>
      </c>
      <c r="AC78" s="18" t="s">
        <v>877</v>
      </c>
      <c r="AD78" s="18" t="s">
        <v>221</v>
      </c>
      <c r="AE78" s="18" t="s">
        <v>878</v>
      </c>
      <c r="AF78" s="18"/>
      <c r="AG78" s="18" t="s">
        <v>879</v>
      </c>
      <c r="AH78" s="18" t="s">
        <v>880</v>
      </c>
      <c r="AI78" s="18" t="s">
        <v>155</v>
      </c>
      <c r="AJ78" s="18" t="s">
        <v>621</v>
      </c>
      <c r="AK78" s="18" t="s">
        <v>157</v>
      </c>
      <c r="AL78" s="18" t="s">
        <v>314</v>
      </c>
      <c r="AM78" s="18"/>
      <c r="AN78" s="18" t="s">
        <v>718</v>
      </c>
      <c r="AO78" s="18" t="s">
        <v>881</v>
      </c>
      <c r="AP78" s="18" t="s">
        <v>419</v>
      </c>
      <c r="AQ78" s="18" t="s">
        <v>362</v>
      </c>
      <c r="AR78" s="18">
        <v>20</v>
      </c>
      <c r="AS78" s="18">
        <v>33</v>
      </c>
      <c r="AT78" s="18">
        <v>10</v>
      </c>
      <c r="AU78" s="18">
        <v>45</v>
      </c>
      <c r="AV78" s="18">
        <v>1000</v>
      </c>
      <c r="AW78" s="18">
        <v>3000</v>
      </c>
      <c r="AX78" s="18">
        <v>400</v>
      </c>
      <c r="AY78" s="18">
        <v>5000</v>
      </c>
      <c r="AZ78" s="18">
        <v>5.5</v>
      </c>
      <c r="BA78" s="18">
        <v>7.5</v>
      </c>
      <c r="BB78" s="18">
        <v>4</v>
      </c>
      <c r="BC78" s="18">
        <v>8.5</v>
      </c>
      <c r="BD78" s="18"/>
      <c r="BE78" s="18"/>
      <c r="BF78" s="18">
        <v>20</v>
      </c>
      <c r="BG78" s="18">
        <v>35</v>
      </c>
      <c r="BH78" s="18">
        <v>2000</v>
      </c>
      <c r="BI78" s="18" t="s">
        <v>163</v>
      </c>
      <c r="BJ78" s="18" t="s">
        <v>164</v>
      </c>
      <c r="BK78" s="18" t="s">
        <v>163</v>
      </c>
      <c r="BL78" s="18" t="s">
        <v>165</v>
      </c>
      <c r="BM78" s="18" t="s">
        <v>166</v>
      </c>
      <c r="BN78" s="18" t="s">
        <v>201</v>
      </c>
      <c r="BO78" s="18" t="s">
        <v>167</v>
      </c>
      <c r="BP78" s="18" t="s">
        <v>203</v>
      </c>
      <c r="BQ78" s="18" t="s">
        <v>169</v>
      </c>
      <c r="BR78" s="18" t="s">
        <v>230</v>
      </c>
      <c r="BS78" s="18"/>
      <c r="BT78" s="18"/>
      <c r="BU78" s="18" t="s">
        <v>171</v>
      </c>
      <c r="BV78" s="18" t="s">
        <v>231</v>
      </c>
      <c r="BW78" s="18" t="s">
        <v>172</v>
      </c>
      <c r="BX78" s="18" t="s">
        <v>882</v>
      </c>
      <c r="BY78" s="18">
        <v>-5</v>
      </c>
      <c r="BZ78" s="18">
        <v>-1</v>
      </c>
      <c r="CA78" s="18" t="s">
        <v>291</v>
      </c>
      <c r="CB78" s="18" t="s">
        <v>651</v>
      </c>
      <c r="CC78" s="18"/>
      <c r="CD78" s="18"/>
      <c r="CE78" s="18" t="s">
        <v>883</v>
      </c>
      <c r="CF78" s="18"/>
      <c r="CG78" s="18">
        <v>150</v>
      </c>
      <c r="CH78" s="18">
        <v>365</v>
      </c>
      <c r="CI78" s="19">
        <v>3</v>
      </c>
      <c r="CJ78" s="19">
        <v>10</v>
      </c>
      <c r="CK78" s="19">
        <v>3</v>
      </c>
      <c r="CL78" s="19">
        <v>8</v>
      </c>
      <c r="CM78" s="17" t="s">
        <v>821</v>
      </c>
      <c r="CN78" s="20">
        <v>8</v>
      </c>
      <c r="CO78" s="20">
        <v>40</v>
      </c>
      <c r="CP78" s="17" t="s">
        <v>884</v>
      </c>
      <c r="CQ78" s="17" t="s">
        <v>209</v>
      </c>
      <c r="CR78" s="21">
        <v>0</v>
      </c>
      <c r="CS78" s="21">
        <v>0</v>
      </c>
      <c r="CT78" s="21">
        <v>8</v>
      </c>
      <c r="CU78" s="21">
        <v>4</v>
      </c>
      <c r="CV78" s="21">
        <v>6</v>
      </c>
      <c r="CW78" s="21">
        <v>10</v>
      </c>
      <c r="CX78" s="21">
        <v>5</v>
      </c>
      <c r="CY78" s="21">
        <v>20</v>
      </c>
      <c r="CZ78" s="21">
        <v>8</v>
      </c>
      <c r="DA78" s="21">
        <v>0</v>
      </c>
      <c r="DB78" s="21">
        <v>0</v>
      </c>
      <c r="DC78" s="21">
        <v>60</v>
      </c>
      <c r="DD78" s="21">
        <v>25</v>
      </c>
      <c r="DE78" s="21">
        <v>40</v>
      </c>
      <c r="DF78" s="21">
        <v>80</v>
      </c>
      <c r="DG78" s="21">
        <v>35</v>
      </c>
      <c r="DH78" s="21">
        <v>400</v>
      </c>
      <c r="DI78" s="21">
        <v>80</v>
      </c>
      <c r="DJ78" s="17" t="s">
        <v>885</v>
      </c>
      <c r="DK78" s="17" t="s">
        <v>409</v>
      </c>
      <c r="DL78" s="22">
        <v>150</v>
      </c>
      <c r="DM78" s="17" t="s">
        <v>886</v>
      </c>
      <c r="DN78" s="23"/>
      <c r="DO78" s="24" t="s">
        <v>182</v>
      </c>
      <c r="DP78" s="25" t="s">
        <v>183</v>
      </c>
      <c r="DQ78" s="25" t="s">
        <v>183</v>
      </c>
      <c r="DR78" s="25" t="s">
        <v>183</v>
      </c>
      <c r="DS78" s="24" t="s">
        <v>182</v>
      </c>
      <c r="DT78" s="23"/>
      <c r="DU78" s="23"/>
      <c r="DV78" s="23"/>
      <c r="DW78" s="23"/>
      <c r="DX78" s="23"/>
      <c r="DY78" s="23"/>
      <c r="DZ78" s="17" t="s">
        <v>887</v>
      </c>
      <c r="EA78" s="17" t="s">
        <v>888</v>
      </c>
      <c r="EB78" s="52" t="s">
        <v>301</v>
      </c>
      <c r="EC78" s="17" t="s">
        <v>889</v>
      </c>
      <c r="ED78" s="27" t="s">
        <v>496</v>
      </c>
      <c r="EE78" s="22">
        <v>5</v>
      </c>
      <c r="EF78" s="54" t="s">
        <v>304</v>
      </c>
    </row>
    <row r="79" spans="1:136" ht="15" customHeight="1" x14ac:dyDescent="0.25">
      <c r="A79" s="16" t="s">
        <v>559</v>
      </c>
      <c r="B79" s="17" t="s">
        <v>409</v>
      </c>
      <c r="C79" s="17" t="s">
        <v>559</v>
      </c>
      <c r="D79" s="18">
        <v>103</v>
      </c>
      <c r="E79" s="18">
        <v>1.07</v>
      </c>
      <c r="F79" s="18">
        <v>27.12</v>
      </c>
      <c r="G79" s="18">
        <v>4.9000000000000004</v>
      </c>
      <c r="H79" s="18">
        <v>0.23</v>
      </c>
      <c r="I79" s="18">
        <v>17</v>
      </c>
      <c r="J79" s="18">
        <v>0.54</v>
      </c>
      <c r="K79" s="18">
        <v>25</v>
      </c>
      <c r="L79" s="18">
        <v>30</v>
      </c>
      <c r="M79" s="18">
        <v>490</v>
      </c>
      <c r="N79" s="18">
        <v>2</v>
      </c>
      <c r="O79" s="18">
        <v>0.12</v>
      </c>
      <c r="P79" s="18">
        <v>8.4000000000000005E-2</v>
      </c>
      <c r="Q79" s="18">
        <v>0.06</v>
      </c>
      <c r="R79" s="18">
        <v>0.6</v>
      </c>
      <c r="S79" s="18">
        <v>0</v>
      </c>
      <c r="T79" s="18">
        <v>0.1</v>
      </c>
      <c r="U79" s="18">
        <v>29</v>
      </c>
      <c r="V79" s="18">
        <v>0.11</v>
      </c>
      <c r="W79" s="18">
        <v>0.03</v>
      </c>
      <c r="X79" s="18">
        <v>0.9</v>
      </c>
      <c r="Y79" s="18">
        <v>0.1</v>
      </c>
      <c r="Z79" s="18">
        <v>0</v>
      </c>
      <c r="AA79" s="18">
        <v>14</v>
      </c>
      <c r="AB79" s="18">
        <v>3423</v>
      </c>
      <c r="AC79" s="18" t="s">
        <v>560</v>
      </c>
      <c r="AD79" s="18" t="s">
        <v>561</v>
      </c>
      <c r="AE79" s="18" t="s">
        <v>562</v>
      </c>
      <c r="AF79" s="18" t="s">
        <v>563</v>
      </c>
      <c r="AG79" s="18" t="s">
        <v>564</v>
      </c>
      <c r="AH79" s="18" t="s">
        <v>565</v>
      </c>
      <c r="AI79" s="18" t="s">
        <v>226</v>
      </c>
      <c r="AJ79" s="18" t="s">
        <v>337</v>
      </c>
      <c r="AK79" s="18" t="s">
        <v>157</v>
      </c>
      <c r="AL79" s="18" t="s">
        <v>314</v>
      </c>
      <c r="AM79" s="18">
        <v>0</v>
      </c>
      <c r="AN79" s="18" t="s">
        <v>566</v>
      </c>
      <c r="AO79" s="18" t="s">
        <v>419</v>
      </c>
      <c r="AP79" s="18" t="s">
        <v>419</v>
      </c>
      <c r="AQ79" s="18" t="s">
        <v>162</v>
      </c>
      <c r="AR79" s="18">
        <v>21</v>
      </c>
      <c r="AS79" s="18">
        <v>33</v>
      </c>
      <c r="AT79" s="18">
        <v>16</v>
      </c>
      <c r="AU79" s="18">
        <v>40</v>
      </c>
      <c r="AV79" s="18">
        <v>1500</v>
      </c>
      <c r="AW79" s="18">
        <v>3000</v>
      </c>
      <c r="AX79" s="18">
        <v>1000</v>
      </c>
      <c r="AY79" s="18">
        <v>3500</v>
      </c>
      <c r="AZ79" s="18">
        <v>5.5</v>
      </c>
      <c r="BA79" s="18">
        <v>6.5</v>
      </c>
      <c r="BB79" s="18">
        <v>4.3</v>
      </c>
      <c r="BC79" s="18">
        <v>8.6999999999999993</v>
      </c>
      <c r="BD79" s="18">
        <v>0</v>
      </c>
      <c r="BE79" s="18">
        <v>0</v>
      </c>
      <c r="BF79" s="18">
        <v>17</v>
      </c>
      <c r="BG79" s="18">
        <v>23</v>
      </c>
      <c r="BH79" s="18">
        <v>1500</v>
      </c>
      <c r="BI79" s="18" t="s">
        <v>163</v>
      </c>
      <c r="BJ79" s="18" t="s">
        <v>317</v>
      </c>
      <c r="BK79" s="18" t="s">
        <v>163</v>
      </c>
      <c r="BL79" s="18" t="s">
        <v>317</v>
      </c>
      <c r="BM79" s="18" t="s">
        <v>288</v>
      </c>
      <c r="BN79" s="18" t="s">
        <v>201</v>
      </c>
      <c r="BO79" s="51" t="s">
        <v>567</v>
      </c>
      <c r="BP79" s="51" t="s">
        <v>203</v>
      </c>
      <c r="BQ79" s="51" t="s">
        <v>169</v>
      </c>
      <c r="BR79" s="51" t="s">
        <v>170</v>
      </c>
      <c r="BS79" s="51">
        <v>0</v>
      </c>
      <c r="BT79" s="51">
        <v>0</v>
      </c>
      <c r="BU79" s="51" t="s">
        <v>171</v>
      </c>
      <c r="BV79" s="51" t="s">
        <v>171</v>
      </c>
      <c r="BW79" s="51" t="s">
        <v>172</v>
      </c>
      <c r="BX79" s="51" t="s">
        <v>172</v>
      </c>
      <c r="BY79" s="51">
        <v>0</v>
      </c>
      <c r="BZ79" s="51">
        <v>0</v>
      </c>
      <c r="CA79" s="51" t="s">
        <v>291</v>
      </c>
      <c r="CB79" s="51" t="s">
        <v>342</v>
      </c>
      <c r="CC79" s="51">
        <v>0</v>
      </c>
      <c r="CD79" s="51">
        <v>0</v>
      </c>
      <c r="CE79" s="51">
        <v>0</v>
      </c>
      <c r="CF79" s="51">
        <v>0</v>
      </c>
      <c r="CG79" s="51">
        <v>300</v>
      </c>
      <c r="CH79" s="51">
        <v>365</v>
      </c>
      <c r="CI79" s="32">
        <v>10</v>
      </c>
      <c r="CJ79" s="32">
        <v>26</v>
      </c>
      <c r="CK79" s="32">
        <v>8</v>
      </c>
      <c r="CL79" s="32">
        <v>15</v>
      </c>
      <c r="CM79" s="33" t="s">
        <v>568</v>
      </c>
      <c r="CN79" s="34">
        <v>10</v>
      </c>
      <c r="CO79" s="34">
        <v>50</v>
      </c>
      <c r="CP79" s="35" t="s">
        <v>569</v>
      </c>
      <c r="CQ79" s="35" t="s">
        <v>296</v>
      </c>
      <c r="CR79" s="36">
        <v>0</v>
      </c>
      <c r="CS79" s="36">
        <v>0</v>
      </c>
      <c r="CT79" s="36">
        <v>5</v>
      </c>
      <c r="CU79" s="36">
        <v>3</v>
      </c>
      <c r="CV79" s="36">
        <v>3</v>
      </c>
      <c r="CW79" s="36">
        <v>5</v>
      </c>
      <c r="CX79" s="36">
        <v>4</v>
      </c>
      <c r="CY79" s="36">
        <v>15</v>
      </c>
      <c r="CZ79" s="36">
        <v>5</v>
      </c>
      <c r="DA79" s="37">
        <v>0</v>
      </c>
      <c r="DB79" s="37">
        <v>0</v>
      </c>
      <c r="DC79" s="37">
        <v>40</v>
      </c>
      <c r="DD79" s="37">
        <v>15</v>
      </c>
      <c r="DE79" s="37">
        <v>20</v>
      </c>
      <c r="DF79" s="37">
        <v>40</v>
      </c>
      <c r="DG79" s="37">
        <v>30</v>
      </c>
      <c r="DH79" s="37">
        <v>250</v>
      </c>
      <c r="DI79" s="37">
        <v>60</v>
      </c>
      <c r="DJ79" s="38" t="s">
        <v>570</v>
      </c>
      <c r="DK79" s="39" t="s">
        <v>409</v>
      </c>
      <c r="DL79" s="40">
        <v>150</v>
      </c>
      <c r="DM79" s="39" t="s">
        <v>571</v>
      </c>
      <c r="DN79" s="25" t="s">
        <v>183</v>
      </c>
      <c r="DO79" s="25" t="s">
        <v>183</v>
      </c>
      <c r="DP79" s="25" t="s">
        <v>183</v>
      </c>
      <c r="DQ79" s="24" t="s">
        <v>182</v>
      </c>
      <c r="DR79" s="41"/>
      <c r="DS79" s="41"/>
      <c r="DT79" s="41"/>
      <c r="DU79" s="41"/>
      <c r="DV79" s="41"/>
      <c r="DW79" s="41"/>
      <c r="DX79" s="24" t="s">
        <v>182</v>
      </c>
      <c r="DY79" s="25" t="s">
        <v>183</v>
      </c>
      <c r="DZ79" s="42" t="s">
        <v>572</v>
      </c>
      <c r="EA79" s="42" t="s">
        <v>573</v>
      </c>
      <c r="EB79" s="43" t="s">
        <v>214</v>
      </c>
      <c r="EC79" s="44" t="s">
        <v>574</v>
      </c>
      <c r="ED79" s="45" t="s">
        <v>575</v>
      </c>
      <c r="EE79" s="46">
        <v>4</v>
      </c>
      <c r="EF79" s="47" t="s">
        <v>217</v>
      </c>
    </row>
    <row r="80" spans="1:136" ht="15" customHeight="1" x14ac:dyDescent="0.25">
      <c r="A80" s="16" t="s">
        <v>971</v>
      </c>
      <c r="B80" s="17" t="s">
        <v>409</v>
      </c>
      <c r="C80" s="17" t="s">
        <v>972</v>
      </c>
      <c r="D80" s="18">
        <v>29.2</v>
      </c>
      <c r="E80" s="18">
        <v>1</v>
      </c>
      <c r="F80" s="18">
        <v>0.2</v>
      </c>
      <c r="G80" s="18">
        <v>4.9000000000000004</v>
      </c>
      <c r="H80" s="18">
        <v>1.7</v>
      </c>
      <c r="I80" s="18">
        <v>13</v>
      </c>
      <c r="J80" s="18">
        <v>0.5</v>
      </c>
      <c r="K80" s="18">
        <v>7</v>
      </c>
      <c r="L80" s="18">
        <v>27</v>
      </c>
      <c r="M80" s="18">
        <v>180</v>
      </c>
      <c r="N80" s="18">
        <v>2</v>
      </c>
      <c r="O80" s="18">
        <v>0.4</v>
      </c>
      <c r="P80" s="18"/>
      <c r="Q80" s="18"/>
      <c r="R80" s="18">
        <v>0.6</v>
      </c>
      <c r="S80" s="18">
        <v>86</v>
      </c>
      <c r="T80" s="18">
        <v>0.1</v>
      </c>
      <c r="U80" s="18">
        <v>4</v>
      </c>
      <c r="V80" s="18">
        <v>0.01</v>
      </c>
      <c r="W80" s="18">
        <v>0.02</v>
      </c>
      <c r="X80" s="18">
        <v>0.3</v>
      </c>
      <c r="Y80" s="18">
        <v>0.1</v>
      </c>
      <c r="Z80" s="18">
        <v>0</v>
      </c>
      <c r="AA80" s="18">
        <v>14</v>
      </c>
      <c r="AB80" s="18">
        <v>1002</v>
      </c>
      <c r="AC80" s="18" t="s">
        <v>973</v>
      </c>
      <c r="AD80" s="18" t="s">
        <v>974</v>
      </c>
      <c r="AE80" s="18" t="s">
        <v>413</v>
      </c>
      <c r="AF80" s="18" t="s">
        <v>975</v>
      </c>
      <c r="AG80" s="18" t="s">
        <v>976</v>
      </c>
      <c r="AH80" s="18" t="s">
        <v>977</v>
      </c>
      <c r="AI80" s="18" t="s">
        <v>155</v>
      </c>
      <c r="AJ80" s="18" t="s">
        <v>621</v>
      </c>
      <c r="AK80" s="18" t="s">
        <v>157</v>
      </c>
      <c r="AL80" s="18" t="s">
        <v>314</v>
      </c>
      <c r="AM80" s="18"/>
      <c r="AN80" s="18" t="s">
        <v>978</v>
      </c>
      <c r="AO80" s="18" t="s">
        <v>484</v>
      </c>
      <c r="AP80" s="18" t="s">
        <v>419</v>
      </c>
      <c r="AQ80" s="18" t="s">
        <v>362</v>
      </c>
      <c r="AR80" s="18">
        <v>21</v>
      </c>
      <c r="AS80" s="18">
        <v>27</v>
      </c>
      <c r="AT80" s="18">
        <v>9</v>
      </c>
      <c r="AU80" s="18">
        <v>36</v>
      </c>
      <c r="AV80" s="18">
        <v>600</v>
      </c>
      <c r="AW80" s="18">
        <v>1600</v>
      </c>
      <c r="AX80" s="18">
        <v>400</v>
      </c>
      <c r="AY80" s="18">
        <v>4000</v>
      </c>
      <c r="AZ80" s="18">
        <v>5.5</v>
      </c>
      <c r="BA80" s="18">
        <v>6.5</v>
      </c>
      <c r="BB80" s="18">
        <v>4.5</v>
      </c>
      <c r="BC80" s="18">
        <v>8</v>
      </c>
      <c r="BD80" s="18">
        <v>20</v>
      </c>
      <c r="BE80" s="18">
        <v>10</v>
      </c>
      <c r="BF80" s="18">
        <v>30</v>
      </c>
      <c r="BG80" s="18">
        <v>40</v>
      </c>
      <c r="BH80" s="18">
        <v>2400</v>
      </c>
      <c r="BI80" s="18" t="s">
        <v>164</v>
      </c>
      <c r="BJ80" s="18" t="s">
        <v>165</v>
      </c>
      <c r="BK80" s="18" t="s">
        <v>163</v>
      </c>
      <c r="BL80" s="18" t="s">
        <v>165</v>
      </c>
      <c r="BM80" s="18" t="s">
        <v>288</v>
      </c>
      <c r="BN80" s="18" t="s">
        <v>201</v>
      </c>
      <c r="BO80" s="18" t="s">
        <v>250</v>
      </c>
      <c r="BP80" s="18" t="s">
        <v>203</v>
      </c>
      <c r="BQ80" s="18" t="s">
        <v>169</v>
      </c>
      <c r="BR80" s="18" t="s">
        <v>170</v>
      </c>
      <c r="BS80" s="18"/>
      <c r="BT80" s="18"/>
      <c r="BU80" s="18" t="s">
        <v>171</v>
      </c>
      <c r="BV80" s="18" t="s">
        <v>171</v>
      </c>
      <c r="BW80" s="18" t="s">
        <v>172</v>
      </c>
      <c r="BX80" s="18" t="s">
        <v>318</v>
      </c>
      <c r="BY80" s="18">
        <v>-10</v>
      </c>
      <c r="BZ80" s="18">
        <v>-1</v>
      </c>
      <c r="CA80" s="18" t="s">
        <v>173</v>
      </c>
      <c r="CB80" s="18" t="s">
        <v>979</v>
      </c>
      <c r="CC80" s="18"/>
      <c r="CD80" s="18"/>
      <c r="CE80" s="18"/>
      <c r="CF80" s="18"/>
      <c r="CG80" s="18">
        <v>150</v>
      </c>
      <c r="CH80" s="18">
        <v>210</v>
      </c>
      <c r="CI80" s="32">
        <v>5</v>
      </c>
      <c r="CJ80" s="32">
        <v>10</v>
      </c>
      <c r="CK80" s="32">
        <v>5</v>
      </c>
      <c r="CL80" s="32">
        <v>8</v>
      </c>
      <c r="CM80" s="33" t="s">
        <v>624</v>
      </c>
      <c r="CN80" s="34">
        <v>5</v>
      </c>
      <c r="CO80" s="34">
        <v>20</v>
      </c>
      <c r="CP80" s="35" t="s">
        <v>980</v>
      </c>
      <c r="CQ80" s="35" t="s">
        <v>209</v>
      </c>
      <c r="CR80" s="36">
        <v>0</v>
      </c>
      <c r="CS80" s="36">
        <v>0</v>
      </c>
      <c r="CT80" s="36">
        <v>5</v>
      </c>
      <c r="CU80" s="36">
        <v>3</v>
      </c>
      <c r="CV80" s="36">
        <v>5</v>
      </c>
      <c r="CW80" s="36">
        <v>15</v>
      </c>
      <c r="CX80" s="36">
        <v>4</v>
      </c>
      <c r="CY80" s="36">
        <v>20</v>
      </c>
      <c r="CZ80" s="36">
        <v>8</v>
      </c>
      <c r="DA80" s="37">
        <v>0</v>
      </c>
      <c r="DB80" s="37">
        <v>0</v>
      </c>
      <c r="DC80" s="37">
        <v>40</v>
      </c>
      <c r="DD80" s="37">
        <v>20</v>
      </c>
      <c r="DE80" s="37">
        <v>35</v>
      </c>
      <c r="DF80" s="37">
        <v>100</v>
      </c>
      <c r="DG80" s="37">
        <v>30</v>
      </c>
      <c r="DH80" s="37">
        <v>350</v>
      </c>
      <c r="DI80" s="37">
        <v>80</v>
      </c>
      <c r="DJ80" s="38" t="s">
        <v>981</v>
      </c>
      <c r="DK80" s="39" t="s">
        <v>409</v>
      </c>
      <c r="DL80" s="40">
        <v>150</v>
      </c>
      <c r="DM80" s="39" t="s">
        <v>982</v>
      </c>
      <c r="DN80" s="41"/>
      <c r="DO80" s="41"/>
      <c r="DP80" s="41"/>
      <c r="DQ80" s="41"/>
      <c r="DR80" s="41"/>
      <c r="DS80" s="41"/>
      <c r="DT80" s="41"/>
      <c r="DU80" s="24" t="s">
        <v>182</v>
      </c>
      <c r="DV80" s="25" t="s">
        <v>183</v>
      </c>
      <c r="DW80" s="25" t="s">
        <v>183</v>
      </c>
      <c r="DX80" s="25" t="s">
        <v>183</v>
      </c>
      <c r="DY80" s="24" t="s">
        <v>182</v>
      </c>
      <c r="DZ80" s="42" t="s">
        <v>983</v>
      </c>
      <c r="EA80" s="42" t="s">
        <v>984</v>
      </c>
      <c r="EB80" s="43" t="s">
        <v>214</v>
      </c>
      <c r="EC80" s="44" t="s">
        <v>985</v>
      </c>
      <c r="ED80" s="45" t="s">
        <v>216</v>
      </c>
      <c r="EE80" s="46">
        <v>6</v>
      </c>
      <c r="EF80" s="47" t="s">
        <v>304</v>
      </c>
    </row>
    <row r="81" spans="1:136" ht="15" customHeight="1" x14ac:dyDescent="0.25">
      <c r="A81" s="16" t="s">
        <v>829</v>
      </c>
      <c r="B81" s="17" t="s">
        <v>409</v>
      </c>
      <c r="C81" s="17" t="s">
        <v>830</v>
      </c>
      <c r="D81" s="18">
        <v>44</v>
      </c>
      <c r="E81" s="18">
        <v>0.88</v>
      </c>
      <c r="F81" s="18">
        <v>10.18</v>
      </c>
      <c r="G81" s="18">
        <v>4.3</v>
      </c>
      <c r="H81" s="18">
        <v>0.57999999999999996</v>
      </c>
      <c r="I81" s="18">
        <v>25</v>
      </c>
      <c r="J81" s="18">
        <v>0.31</v>
      </c>
      <c r="K81" s="18">
        <v>10</v>
      </c>
      <c r="L81" s="18">
        <v>27</v>
      </c>
      <c r="M81" s="18">
        <v>198</v>
      </c>
      <c r="N81" s="18">
        <v>1</v>
      </c>
      <c r="O81" s="18">
        <v>0.12</v>
      </c>
      <c r="P81" s="18">
        <v>7.0000000000000007E-2</v>
      </c>
      <c r="Q81" s="18">
        <v>0.14399999999999999</v>
      </c>
      <c r="R81" s="18">
        <v>0.6</v>
      </c>
      <c r="S81" s="18">
        <v>290</v>
      </c>
      <c r="T81" s="18">
        <v>0.37</v>
      </c>
      <c r="U81" s="18">
        <v>27.7</v>
      </c>
      <c r="V81" s="18">
        <v>0.04</v>
      </c>
      <c r="W81" s="18">
        <v>0.03</v>
      </c>
      <c r="X81" s="18">
        <v>0.3</v>
      </c>
      <c r="Y81" s="18">
        <v>0.08</v>
      </c>
      <c r="Z81" s="18">
        <v>0</v>
      </c>
      <c r="AA81" s="18">
        <v>6</v>
      </c>
      <c r="AB81" s="18">
        <v>9290</v>
      </c>
      <c r="AC81" s="18" t="s">
        <v>831</v>
      </c>
      <c r="AD81" s="18" t="s">
        <v>221</v>
      </c>
      <c r="AE81" s="18" t="s">
        <v>520</v>
      </c>
      <c r="AF81" s="18" t="s">
        <v>832</v>
      </c>
      <c r="AG81" s="18" t="s">
        <v>833</v>
      </c>
      <c r="AH81" s="18" t="s">
        <v>834</v>
      </c>
      <c r="AI81" s="18" t="s">
        <v>226</v>
      </c>
      <c r="AJ81" s="18" t="s">
        <v>523</v>
      </c>
      <c r="AK81" s="18" t="s">
        <v>157</v>
      </c>
      <c r="AL81" s="18" t="s">
        <v>314</v>
      </c>
      <c r="AM81" s="18">
        <v>0</v>
      </c>
      <c r="AN81" s="18">
        <v>0</v>
      </c>
      <c r="AO81" s="18" t="s">
        <v>484</v>
      </c>
      <c r="AP81" s="18" t="s">
        <v>419</v>
      </c>
      <c r="AQ81" s="18" t="s">
        <v>162</v>
      </c>
      <c r="AR81" s="18">
        <v>15</v>
      </c>
      <c r="AS81" s="18">
        <v>25</v>
      </c>
      <c r="AT81" s="18">
        <v>3</v>
      </c>
      <c r="AU81" s="18">
        <v>40</v>
      </c>
      <c r="AV81" s="18">
        <v>900</v>
      </c>
      <c r="AW81" s="18">
        <v>1300</v>
      </c>
      <c r="AX81" s="18">
        <v>500</v>
      </c>
      <c r="AY81" s="18">
        <v>1700</v>
      </c>
      <c r="AZ81" s="18">
        <v>6</v>
      </c>
      <c r="BA81" s="18">
        <v>7</v>
      </c>
      <c r="BB81" s="18">
        <v>5</v>
      </c>
      <c r="BC81" s="18">
        <v>7.5</v>
      </c>
      <c r="BD81" s="18">
        <v>45</v>
      </c>
      <c r="BE81" s="18">
        <v>40</v>
      </c>
      <c r="BF81" s="18">
        <v>55</v>
      </c>
      <c r="BG81" s="18">
        <v>60</v>
      </c>
      <c r="BH81" s="18">
        <v>1500</v>
      </c>
      <c r="BI81" s="18" t="s">
        <v>163</v>
      </c>
      <c r="BJ81" s="18" t="s">
        <v>164</v>
      </c>
      <c r="BK81" s="18" t="s">
        <v>163</v>
      </c>
      <c r="BL81" s="18" t="s">
        <v>165</v>
      </c>
      <c r="BM81" s="18" t="s">
        <v>288</v>
      </c>
      <c r="BN81" s="18" t="s">
        <v>166</v>
      </c>
      <c r="BO81" s="51" t="s">
        <v>835</v>
      </c>
      <c r="BP81" s="51" t="s">
        <v>168</v>
      </c>
      <c r="BQ81" s="51" t="s">
        <v>169</v>
      </c>
      <c r="BR81" s="51" t="s">
        <v>170</v>
      </c>
      <c r="BS81" s="51">
        <v>0</v>
      </c>
      <c r="BT81" s="51">
        <v>0</v>
      </c>
      <c r="BU81" s="51" t="s">
        <v>171</v>
      </c>
      <c r="BV81" s="51" t="s">
        <v>171</v>
      </c>
      <c r="BW81" s="51" t="s">
        <v>172</v>
      </c>
      <c r="BX81" s="51" t="s">
        <v>172</v>
      </c>
      <c r="BY81" s="51">
        <v>-28</v>
      </c>
      <c r="BZ81" s="51">
        <v>0</v>
      </c>
      <c r="CA81" s="51" t="s">
        <v>173</v>
      </c>
      <c r="CB81" s="51" t="s">
        <v>524</v>
      </c>
      <c r="CC81" s="51">
        <v>0</v>
      </c>
      <c r="CD81" s="51">
        <v>0</v>
      </c>
      <c r="CE81" s="51">
        <v>0</v>
      </c>
      <c r="CF81" s="51">
        <v>0</v>
      </c>
      <c r="CG81" s="51">
        <v>150</v>
      </c>
      <c r="CH81" s="51">
        <v>180</v>
      </c>
      <c r="CI81" s="32">
        <v>0.9</v>
      </c>
      <c r="CJ81" s="32">
        <v>1.5</v>
      </c>
      <c r="CK81" s="32">
        <v>0.9</v>
      </c>
      <c r="CL81" s="32">
        <v>1.5</v>
      </c>
      <c r="CM81" s="33" t="s">
        <v>525</v>
      </c>
      <c r="CN81" s="34">
        <v>3</v>
      </c>
      <c r="CO81" s="34">
        <v>12</v>
      </c>
      <c r="CP81" s="35" t="s">
        <v>836</v>
      </c>
      <c r="CQ81" s="35" t="s">
        <v>209</v>
      </c>
      <c r="CR81" s="36">
        <v>0</v>
      </c>
      <c r="CS81" s="36">
        <v>5</v>
      </c>
      <c r="CT81" s="36">
        <v>8</v>
      </c>
      <c r="CU81" s="36">
        <v>3</v>
      </c>
      <c r="CV81" s="36">
        <v>5</v>
      </c>
      <c r="CW81" s="36">
        <v>15</v>
      </c>
      <c r="CX81" s="36">
        <v>4</v>
      </c>
      <c r="CY81" s="36">
        <v>15</v>
      </c>
      <c r="CZ81" s="36">
        <v>5</v>
      </c>
      <c r="DA81" s="37">
        <v>0</v>
      </c>
      <c r="DB81" s="37">
        <v>60</v>
      </c>
      <c r="DC81" s="37">
        <v>80</v>
      </c>
      <c r="DD81" s="37">
        <v>20</v>
      </c>
      <c r="DE81" s="37">
        <v>35</v>
      </c>
      <c r="DF81" s="37">
        <v>120</v>
      </c>
      <c r="DG81" s="37">
        <v>30</v>
      </c>
      <c r="DH81" s="37">
        <v>350</v>
      </c>
      <c r="DI81" s="37">
        <v>60</v>
      </c>
      <c r="DJ81" s="38" t="s">
        <v>837</v>
      </c>
      <c r="DK81" s="39" t="s">
        <v>409</v>
      </c>
      <c r="DL81" s="40">
        <v>150</v>
      </c>
      <c r="DM81" s="39" t="s">
        <v>838</v>
      </c>
      <c r="DN81" s="25" t="s">
        <v>183</v>
      </c>
      <c r="DO81" s="24" t="s">
        <v>182</v>
      </c>
      <c r="DP81" s="41"/>
      <c r="DQ81" s="41"/>
      <c r="DR81" s="41"/>
      <c r="DS81" s="41"/>
      <c r="DT81" s="41"/>
      <c r="DU81" s="41"/>
      <c r="DV81" s="41"/>
      <c r="DW81" s="41"/>
      <c r="DX81" s="24" t="s">
        <v>182</v>
      </c>
      <c r="DY81" s="25" t="s">
        <v>183</v>
      </c>
      <c r="DZ81" s="42" t="s">
        <v>839</v>
      </c>
      <c r="EA81" s="42" t="s">
        <v>840</v>
      </c>
      <c r="EB81" s="52" t="s">
        <v>301</v>
      </c>
      <c r="EC81" s="44" t="s">
        <v>495</v>
      </c>
      <c r="ED81" s="45" t="s">
        <v>496</v>
      </c>
      <c r="EE81" s="46">
        <v>4</v>
      </c>
      <c r="EF81" s="47" t="s">
        <v>841</v>
      </c>
    </row>
    <row r="82" spans="1:136" ht="15" customHeight="1" x14ac:dyDescent="0.25">
      <c r="A82" s="16" t="s">
        <v>2301</v>
      </c>
      <c r="B82" s="29" t="s">
        <v>2221</v>
      </c>
      <c r="C82" s="29" t="s">
        <v>2302</v>
      </c>
      <c r="D82" s="30">
        <v>14.8</v>
      </c>
      <c r="E82" s="30">
        <v>0.8</v>
      </c>
      <c r="F82" s="30">
        <v>0.2</v>
      </c>
      <c r="G82" s="30">
        <v>1.9</v>
      </c>
      <c r="H82" s="30">
        <v>1.1000000000000001</v>
      </c>
      <c r="I82" s="30">
        <v>25</v>
      </c>
      <c r="J82" s="30">
        <v>1.1000000000000001</v>
      </c>
      <c r="K82" s="30">
        <v>9</v>
      </c>
      <c r="L82" s="30">
        <v>20</v>
      </c>
      <c r="M82" s="30">
        <v>180</v>
      </c>
      <c r="N82" s="30">
        <v>20</v>
      </c>
      <c r="O82" s="30">
        <v>0.2</v>
      </c>
      <c r="P82" s="30"/>
      <c r="Q82" s="30"/>
      <c r="R82" s="30">
        <v>0.6</v>
      </c>
      <c r="S82" s="30">
        <v>2</v>
      </c>
      <c r="T82" s="30">
        <v>0</v>
      </c>
      <c r="U82" s="30">
        <v>23</v>
      </c>
      <c r="V82" s="30">
        <v>0.03</v>
      </c>
      <c r="W82" s="30">
        <v>0.03</v>
      </c>
      <c r="X82" s="30">
        <v>0.4</v>
      </c>
      <c r="Y82" s="30">
        <v>7.0000000000000007E-2</v>
      </c>
      <c r="Z82" s="30">
        <v>0</v>
      </c>
      <c r="AA82" s="30">
        <v>25</v>
      </c>
      <c r="AB82" s="31">
        <v>1839</v>
      </c>
      <c r="AC82" s="31" t="s">
        <v>2303</v>
      </c>
      <c r="AD82" s="31" t="s">
        <v>2304</v>
      </c>
      <c r="AE82" s="31" t="s">
        <v>152</v>
      </c>
      <c r="AF82" s="31"/>
      <c r="AG82" s="31" t="s">
        <v>2305</v>
      </c>
      <c r="AH82" s="31" t="s">
        <v>2306</v>
      </c>
      <c r="AI82" s="31" t="s">
        <v>155</v>
      </c>
      <c r="AJ82" s="31" t="s">
        <v>156</v>
      </c>
      <c r="AK82" s="31" t="s">
        <v>157</v>
      </c>
      <c r="AL82" s="31" t="s">
        <v>282</v>
      </c>
      <c r="AM82" s="31" t="s">
        <v>283</v>
      </c>
      <c r="AN82" s="31" t="s">
        <v>506</v>
      </c>
      <c r="AO82" s="31" t="s">
        <v>1890</v>
      </c>
      <c r="AP82" s="31" t="s">
        <v>316</v>
      </c>
      <c r="AQ82" s="31" t="s">
        <v>362</v>
      </c>
      <c r="AR82" s="31">
        <v>12</v>
      </c>
      <c r="AS82" s="31">
        <v>26</v>
      </c>
      <c r="AT82" s="31">
        <v>10</v>
      </c>
      <c r="AU82" s="31">
        <v>37</v>
      </c>
      <c r="AV82" s="31">
        <v>1000</v>
      </c>
      <c r="AW82" s="31">
        <v>1500</v>
      </c>
      <c r="AX82" s="31">
        <v>800</v>
      </c>
      <c r="AY82" s="31">
        <v>2800</v>
      </c>
      <c r="AZ82" s="31">
        <v>6</v>
      </c>
      <c r="BA82" s="31">
        <v>7</v>
      </c>
      <c r="BB82" s="31">
        <v>4.3</v>
      </c>
      <c r="BC82" s="31">
        <v>8.3000000000000007</v>
      </c>
      <c r="BD82" s="31"/>
      <c r="BE82" s="31"/>
      <c r="BF82" s="31"/>
      <c r="BG82" s="31"/>
      <c r="BH82" s="31"/>
      <c r="BI82" s="31" t="s">
        <v>164</v>
      </c>
      <c r="BJ82" s="31" t="s">
        <v>164</v>
      </c>
      <c r="BK82" s="31" t="s">
        <v>163</v>
      </c>
      <c r="BL82" s="31" t="s">
        <v>165</v>
      </c>
      <c r="BM82" s="31" t="s">
        <v>288</v>
      </c>
      <c r="BN82" s="31" t="s">
        <v>166</v>
      </c>
      <c r="BO82" s="31" t="s">
        <v>250</v>
      </c>
      <c r="BP82" s="31" t="s">
        <v>203</v>
      </c>
      <c r="BQ82" s="31" t="s">
        <v>169</v>
      </c>
      <c r="BR82" s="31"/>
      <c r="BS82" s="31"/>
      <c r="BT82" s="31"/>
      <c r="BU82" s="31" t="s">
        <v>171</v>
      </c>
      <c r="BV82" s="31" t="s">
        <v>171</v>
      </c>
      <c r="BW82" s="31" t="s">
        <v>172</v>
      </c>
      <c r="BX82" s="31" t="s">
        <v>172</v>
      </c>
      <c r="BY82" s="31"/>
      <c r="BZ82" s="31"/>
      <c r="CA82" s="31" t="s">
        <v>173</v>
      </c>
      <c r="CB82" s="31" t="s">
        <v>583</v>
      </c>
      <c r="CC82" s="31"/>
      <c r="CD82" s="31"/>
      <c r="CE82" s="31"/>
      <c r="CF82" s="31" t="s">
        <v>175</v>
      </c>
      <c r="CG82" s="31">
        <v>50</v>
      </c>
      <c r="CH82" s="31">
        <v>80</v>
      </c>
      <c r="CI82" s="32">
        <v>0.15</v>
      </c>
      <c r="CJ82" s="32">
        <v>0.4</v>
      </c>
      <c r="CK82" s="32">
        <v>0.1</v>
      </c>
      <c r="CL82" s="32">
        <v>0.2</v>
      </c>
      <c r="CM82" s="33" t="s">
        <v>2254</v>
      </c>
      <c r="CN82" s="34">
        <v>10</v>
      </c>
      <c r="CO82" s="34">
        <v>40</v>
      </c>
      <c r="CP82" s="35" t="s">
        <v>2307</v>
      </c>
      <c r="CQ82" s="35" t="s">
        <v>209</v>
      </c>
      <c r="CR82" s="36">
        <v>3</v>
      </c>
      <c r="CS82" s="36">
        <v>2</v>
      </c>
      <c r="CT82" s="36">
        <v>4</v>
      </c>
      <c r="CU82" s="36">
        <v>2</v>
      </c>
      <c r="CV82" s="36">
        <v>2</v>
      </c>
      <c r="CW82" s="36">
        <v>0</v>
      </c>
      <c r="CX82" s="36">
        <v>2</v>
      </c>
      <c r="CY82" s="36">
        <v>5</v>
      </c>
      <c r="CZ82" s="36">
        <v>4</v>
      </c>
      <c r="DA82" s="37">
        <v>100</v>
      </c>
      <c r="DB82" s="37">
        <v>50</v>
      </c>
      <c r="DC82" s="37">
        <v>120</v>
      </c>
      <c r="DD82" s="37">
        <v>15</v>
      </c>
      <c r="DE82" s="37">
        <v>15</v>
      </c>
      <c r="DF82" s="37">
        <v>0</v>
      </c>
      <c r="DG82" s="37">
        <v>20</v>
      </c>
      <c r="DH82" s="37">
        <v>180</v>
      </c>
      <c r="DI82" s="37">
        <v>80</v>
      </c>
      <c r="DJ82" s="38" t="s">
        <v>724</v>
      </c>
      <c r="DK82" s="39" t="s">
        <v>180</v>
      </c>
      <c r="DL82" s="40">
        <v>75</v>
      </c>
      <c r="DM82" s="39" t="s">
        <v>2308</v>
      </c>
      <c r="DN82" s="41"/>
      <c r="DO82" s="41"/>
      <c r="DP82" s="24" t="s">
        <v>182</v>
      </c>
      <c r="DQ82" s="25" t="s">
        <v>183</v>
      </c>
      <c r="DR82" s="25" t="s">
        <v>183</v>
      </c>
      <c r="DS82" s="25" t="s">
        <v>183</v>
      </c>
      <c r="DT82" s="25" t="s">
        <v>183</v>
      </c>
      <c r="DU82" s="25" t="s">
        <v>183</v>
      </c>
      <c r="DV82" s="25" t="s">
        <v>183</v>
      </c>
      <c r="DW82" s="25" t="s">
        <v>183</v>
      </c>
      <c r="DX82" s="24" t="s">
        <v>182</v>
      </c>
      <c r="DY82" s="41"/>
      <c r="DZ82" s="42" t="s">
        <v>2309</v>
      </c>
      <c r="EA82" s="42" t="s">
        <v>2310</v>
      </c>
      <c r="EB82" s="43" t="s">
        <v>214</v>
      </c>
      <c r="EC82" s="44" t="s">
        <v>710</v>
      </c>
      <c r="ED82" s="45" t="s">
        <v>575</v>
      </c>
      <c r="EE82" s="46">
        <v>2</v>
      </c>
      <c r="EF82" s="53" t="s">
        <v>757</v>
      </c>
    </row>
    <row r="83" spans="1:136" ht="15" customHeight="1" x14ac:dyDescent="0.25">
      <c r="A83" s="16" t="s">
        <v>1930</v>
      </c>
      <c r="B83" s="29" t="s">
        <v>1700</v>
      </c>
      <c r="C83" s="29" t="s">
        <v>1945</v>
      </c>
      <c r="D83" s="30">
        <v>26.3</v>
      </c>
      <c r="E83" s="30">
        <v>2.9</v>
      </c>
      <c r="F83" s="30">
        <v>0.4</v>
      </c>
      <c r="G83" s="30">
        <v>0.8</v>
      </c>
      <c r="H83" s="30">
        <v>3.8</v>
      </c>
      <c r="I83" s="30">
        <v>85</v>
      </c>
      <c r="J83" s="30">
        <v>3</v>
      </c>
      <c r="K83" s="30">
        <v>23</v>
      </c>
      <c r="L83" s="30">
        <v>31</v>
      </c>
      <c r="M83" s="30">
        <v>570</v>
      </c>
      <c r="N83" s="30">
        <v>48</v>
      </c>
      <c r="O83" s="30">
        <v>0.7</v>
      </c>
      <c r="P83" s="30"/>
      <c r="Q83" s="30"/>
      <c r="R83" s="30">
        <v>0.6</v>
      </c>
      <c r="S83" s="30">
        <v>335</v>
      </c>
      <c r="T83" s="30">
        <v>0.21</v>
      </c>
      <c r="U83" s="30">
        <v>101</v>
      </c>
      <c r="V83" s="30">
        <v>0.02</v>
      </c>
      <c r="W83" s="30">
        <v>0.16</v>
      </c>
      <c r="X83" s="30">
        <v>0.8</v>
      </c>
      <c r="Y83" s="30">
        <v>0.06</v>
      </c>
      <c r="Z83" s="30">
        <v>0</v>
      </c>
      <c r="AA83" s="30">
        <v>280</v>
      </c>
      <c r="AB83" s="31">
        <v>1522</v>
      </c>
      <c r="AC83" s="31" t="s">
        <v>1946</v>
      </c>
      <c r="AD83" s="31" t="s">
        <v>1947</v>
      </c>
      <c r="AE83" s="31"/>
      <c r="AF83" s="31" t="s">
        <v>1948</v>
      </c>
      <c r="AG83" s="31" t="s">
        <v>1949</v>
      </c>
      <c r="AH83" s="31" t="s">
        <v>1950</v>
      </c>
      <c r="AI83" s="31" t="s">
        <v>155</v>
      </c>
      <c r="AJ83" s="31" t="s">
        <v>156</v>
      </c>
      <c r="AK83" s="31"/>
      <c r="AL83" s="31" t="s">
        <v>314</v>
      </c>
      <c r="AM83" s="31"/>
      <c r="AN83" s="31"/>
      <c r="AO83" s="31" t="s">
        <v>228</v>
      </c>
      <c r="AP83" s="31" t="s">
        <v>161</v>
      </c>
      <c r="AQ83" s="31" t="s">
        <v>362</v>
      </c>
      <c r="AR83" s="31">
        <v>12</v>
      </c>
      <c r="AS83" s="31">
        <v>17</v>
      </c>
      <c r="AT83" s="31">
        <v>6</v>
      </c>
      <c r="AU83" s="31">
        <v>32</v>
      </c>
      <c r="AV83" s="31">
        <v>1000</v>
      </c>
      <c r="AW83" s="31">
        <v>2300</v>
      </c>
      <c r="AX83" s="31">
        <v>300</v>
      </c>
      <c r="AY83" s="31">
        <v>4200</v>
      </c>
      <c r="AZ83" s="31">
        <v>6.5</v>
      </c>
      <c r="BA83" s="31">
        <v>7.5</v>
      </c>
      <c r="BB83" s="31">
        <v>4.5</v>
      </c>
      <c r="BC83" s="31">
        <v>8.3000000000000007</v>
      </c>
      <c r="BD83" s="31"/>
      <c r="BE83" s="31"/>
      <c r="BF83" s="31"/>
      <c r="BG83" s="31"/>
      <c r="BH83" s="31">
        <v>3000</v>
      </c>
      <c r="BI83" s="31" t="s">
        <v>163</v>
      </c>
      <c r="BJ83" s="31" t="s">
        <v>163</v>
      </c>
      <c r="BK83" s="31" t="s">
        <v>163</v>
      </c>
      <c r="BL83" s="31" t="s">
        <v>317</v>
      </c>
      <c r="BM83" s="31" t="s">
        <v>201</v>
      </c>
      <c r="BN83" s="31" t="s">
        <v>201</v>
      </c>
      <c r="BO83" s="31" t="s">
        <v>250</v>
      </c>
      <c r="BP83" s="31" t="s">
        <v>203</v>
      </c>
      <c r="BQ83" s="31" t="s">
        <v>170</v>
      </c>
      <c r="BR83" s="31" t="s">
        <v>230</v>
      </c>
      <c r="BS83" s="31"/>
      <c r="BT83" s="31"/>
      <c r="BU83" s="31" t="s">
        <v>171</v>
      </c>
      <c r="BV83" s="31" t="s">
        <v>171</v>
      </c>
      <c r="BW83" s="31" t="s">
        <v>1586</v>
      </c>
      <c r="BX83" s="31" t="s">
        <v>318</v>
      </c>
      <c r="BY83" s="31">
        <v>3</v>
      </c>
      <c r="BZ83" s="31">
        <v>0</v>
      </c>
      <c r="CA83" s="31" t="s">
        <v>1511</v>
      </c>
      <c r="CB83" s="31" t="s">
        <v>232</v>
      </c>
      <c r="CC83" s="31"/>
      <c r="CD83" s="31"/>
      <c r="CE83" s="31"/>
      <c r="CF83" s="31"/>
      <c r="CG83" s="31">
        <v>40</v>
      </c>
      <c r="CH83" s="31">
        <v>80</v>
      </c>
      <c r="CI83" s="32">
        <v>0.1</v>
      </c>
      <c r="CJ83" s="32">
        <v>0.5</v>
      </c>
      <c r="CK83" s="32">
        <v>0.3</v>
      </c>
      <c r="CL83" s="32">
        <v>0.9</v>
      </c>
      <c r="CM83" s="33" t="s">
        <v>1951</v>
      </c>
      <c r="CN83" s="34">
        <v>8</v>
      </c>
      <c r="CO83" s="34">
        <v>30</v>
      </c>
      <c r="CP83" s="35" t="s">
        <v>1952</v>
      </c>
      <c r="CQ83" s="35" t="s">
        <v>1953</v>
      </c>
      <c r="CR83" s="36">
        <v>3</v>
      </c>
      <c r="CS83" s="36">
        <v>3</v>
      </c>
      <c r="CT83" s="36">
        <v>5</v>
      </c>
      <c r="CU83" s="36">
        <v>2</v>
      </c>
      <c r="CV83" s="36">
        <v>3</v>
      </c>
      <c r="CW83" s="36">
        <v>0</v>
      </c>
      <c r="CX83" s="36">
        <v>8</v>
      </c>
      <c r="CY83" s="36">
        <v>15</v>
      </c>
      <c r="CZ83" s="36">
        <v>8</v>
      </c>
      <c r="DA83" s="37">
        <v>80</v>
      </c>
      <c r="DB83" s="37">
        <v>80</v>
      </c>
      <c r="DC83" s="37">
        <v>150</v>
      </c>
      <c r="DD83" s="37">
        <v>20</v>
      </c>
      <c r="DE83" s="37">
        <v>25</v>
      </c>
      <c r="DF83" s="37">
        <v>0</v>
      </c>
      <c r="DG83" s="37">
        <v>80</v>
      </c>
      <c r="DH83" s="37">
        <v>300</v>
      </c>
      <c r="DI83" s="37">
        <v>120</v>
      </c>
      <c r="DJ83" s="38" t="s">
        <v>1954</v>
      </c>
      <c r="DK83" s="39" t="s">
        <v>180</v>
      </c>
      <c r="DL83" s="40">
        <v>75</v>
      </c>
      <c r="DM83" s="39" t="s">
        <v>1955</v>
      </c>
      <c r="DN83" s="41"/>
      <c r="DO83" s="41"/>
      <c r="DP83" s="24" t="s">
        <v>182</v>
      </c>
      <c r="DQ83" s="25" t="s">
        <v>183</v>
      </c>
      <c r="DR83" s="25" t="s">
        <v>183</v>
      </c>
      <c r="DS83" s="25" t="s">
        <v>183</v>
      </c>
      <c r="DT83" s="25" t="s">
        <v>183</v>
      </c>
      <c r="DU83" s="25" t="s">
        <v>183</v>
      </c>
      <c r="DV83" s="25" t="s">
        <v>183</v>
      </c>
      <c r="DW83" s="24" t="s">
        <v>182</v>
      </c>
      <c r="DX83" s="24" t="s">
        <v>182</v>
      </c>
      <c r="DY83" s="41"/>
      <c r="DZ83" s="42" t="s">
        <v>1956</v>
      </c>
      <c r="EA83" s="42" t="s">
        <v>1957</v>
      </c>
      <c r="EB83" s="58" t="s">
        <v>1815</v>
      </c>
      <c r="EC83" s="44" t="s">
        <v>1958</v>
      </c>
      <c r="ED83" s="45" t="s">
        <v>1875</v>
      </c>
      <c r="EE83" s="46">
        <v>0</v>
      </c>
      <c r="EF83" s="56" t="s">
        <v>497</v>
      </c>
    </row>
    <row r="84" spans="1:136" ht="15" customHeight="1" x14ac:dyDescent="0.25">
      <c r="A84" s="16" t="s">
        <v>1243</v>
      </c>
      <c r="B84" s="29" t="s">
        <v>409</v>
      </c>
      <c r="C84" s="29" t="s">
        <v>1244</v>
      </c>
      <c r="D84" s="30">
        <v>48.8</v>
      </c>
      <c r="E84" s="30">
        <v>0.4</v>
      </c>
      <c r="F84" s="30">
        <v>0.3</v>
      </c>
      <c r="G84" s="30">
        <v>8.8000000000000007</v>
      </c>
      <c r="H84" s="30">
        <v>4.5999999999999996</v>
      </c>
      <c r="I84" s="30">
        <v>48</v>
      </c>
      <c r="J84" s="30">
        <v>0.4</v>
      </c>
      <c r="K84" s="30">
        <v>29</v>
      </c>
      <c r="L84" s="30">
        <v>24</v>
      </c>
      <c r="M84" s="30">
        <v>190</v>
      </c>
      <c r="N84" s="30">
        <v>1</v>
      </c>
      <c r="O84" s="30">
        <v>0.6</v>
      </c>
      <c r="P84" s="30"/>
      <c r="Q84" s="30"/>
      <c r="R84" s="30">
        <v>0.6</v>
      </c>
      <c r="S84" s="30">
        <v>8</v>
      </c>
      <c r="T84" s="30">
        <v>0.54</v>
      </c>
      <c r="U84" s="30">
        <v>18</v>
      </c>
      <c r="V84" s="30">
        <v>0.02</v>
      </c>
      <c r="W84" s="30">
        <v>0.04</v>
      </c>
      <c r="X84" s="30">
        <v>0.4</v>
      </c>
      <c r="Y84" s="30">
        <v>0.06</v>
      </c>
      <c r="Z84" s="30">
        <v>0</v>
      </c>
      <c r="AA84" s="30">
        <v>6</v>
      </c>
      <c r="AB84" s="31">
        <v>8094</v>
      </c>
      <c r="AC84" s="31" t="s">
        <v>1245</v>
      </c>
      <c r="AD84" s="31" t="s">
        <v>1246</v>
      </c>
      <c r="AE84" s="31" t="s">
        <v>1247</v>
      </c>
      <c r="AF84" s="31" t="s">
        <v>1248</v>
      </c>
      <c r="AG84" s="31" t="s">
        <v>1249</v>
      </c>
      <c r="AH84" s="31" t="s">
        <v>1250</v>
      </c>
      <c r="AI84" s="31" t="s">
        <v>226</v>
      </c>
      <c r="AJ84" s="31" t="s">
        <v>523</v>
      </c>
      <c r="AK84" s="31" t="s">
        <v>157</v>
      </c>
      <c r="AL84" s="31" t="s">
        <v>314</v>
      </c>
      <c r="AM84" s="31"/>
      <c r="AN84" s="31" t="s">
        <v>1251</v>
      </c>
      <c r="AO84" s="31" t="s">
        <v>419</v>
      </c>
      <c r="AP84" s="31" t="s">
        <v>419</v>
      </c>
      <c r="AQ84" s="31" t="s">
        <v>362</v>
      </c>
      <c r="AR84" s="31">
        <v>18</v>
      </c>
      <c r="AS84" s="31">
        <v>26</v>
      </c>
      <c r="AT84" s="31">
        <v>10</v>
      </c>
      <c r="AU84" s="31">
        <v>30</v>
      </c>
      <c r="AV84" s="31">
        <v>700</v>
      </c>
      <c r="AW84" s="31">
        <v>1300</v>
      </c>
      <c r="AX84" s="31">
        <v>300</v>
      </c>
      <c r="AY84" s="31">
        <v>1700</v>
      </c>
      <c r="AZ84" s="31">
        <v>7</v>
      </c>
      <c r="BA84" s="31">
        <v>7.5</v>
      </c>
      <c r="BB84" s="31">
        <v>6.5</v>
      </c>
      <c r="BC84" s="31">
        <v>8.1999999999999993</v>
      </c>
      <c r="BD84" s="31"/>
      <c r="BE84" s="31"/>
      <c r="BF84" s="31"/>
      <c r="BG84" s="31"/>
      <c r="BH84" s="31"/>
      <c r="BI84" s="31" t="s">
        <v>163</v>
      </c>
      <c r="BJ84" s="31" t="s">
        <v>164</v>
      </c>
      <c r="BK84" s="31" t="s">
        <v>163</v>
      </c>
      <c r="BL84" s="31" t="s">
        <v>165</v>
      </c>
      <c r="BM84" s="31" t="s">
        <v>166</v>
      </c>
      <c r="BN84" s="31" t="s">
        <v>201</v>
      </c>
      <c r="BO84" s="31" t="s">
        <v>250</v>
      </c>
      <c r="BP84" s="31" t="s">
        <v>250</v>
      </c>
      <c r="BQ84" s="31" t="s">
        <v>170</v>
      </c>
      <c r="BR84" s="31" t="s">
        <v>230</v>
      </c>
      <c r="BS84" s="31"/>
      <c r="BT84" s="31"/>
      <c r="BU84" s="31" t="s">
        <v>171</v>
      </c>
      <c r="BV84" s="31" t="s">
        <v>171</v>
      </c>
      <c r="BW84" s="31" t="s">
        <v>290</v>
      </c>
      <c r="BX84" s="31" t="s">
        <v>290</v>
      </c>
      <c r="BY84" s="31"/>
      <c r="BZ84" s="31"/>
      <c r="CA84" s="31" t="s">
        <v>291</v>
      </c>
      <c r="CB84" s="31" t="s">
        <v>1252</v>
      </c>
      <c r="CC84" s="31"/>
      <c r="CD84" s="31"/>
      <c r="CE84" s="31"/>
      <c r="CF84" s="31"/>
      <c r="CG84" s="31">
        <v>140</v>
      </c>
      <c r="CH84" s="31">
        <v>270</v>
      </c>
      <c r="CI84" s="32">
        <v>1</v>
      </c>
      <c r="CJ84" s="32">
        <v>5</v>
      </c>
      <c r="CK84" s="32">
        <v>1</v>
      </c>
      <c r="CL84" s="32">
        <v>4</v>
      </c>
      <c r="CM84" s="33" t="s">
        <v>1253</v>
      </c>
      <c r="CN84" s="34">
        <v>5</v>
      </c>
      <c r="CO84" s="34">
        <v>30</v>
      </c>
      <c r="CP84" s="35" t="s">
        <v>1254</v>
      </c>
      <c r="CQ84" s="35" t="s">
        <v>899</v>
      </c>
      <c r="CR84" s="36">
        <v>0</v>
      </c>
      <c r="CS84" s="36">
        <v>3</v>
      </c>
      <c r="CT84" s="36">
        <v>4</v>
      </c>
      <c r="CU84" s="36">
        <v>2</v>
      </c>
      <c r="CV84" s="36">
        <v>3</v>
      </c>
      <c r="CW84" s="36">
        <v>5</v>
      </c>
      <c r="CX84" s="36">
        <v>3</v>
      </c>
      <c r="CY84" s="36">
        <v>15</v>
      </c>
      <c r="CZ84" s="36">
        <v>10</v>
      </c>
      <c r="DA84" s="37">
        <v>0</v>
      </c>
      <c r="DB84" s="37">
        <v>40</v>
      </c>
      <c r="DC84" s="37">
        <v>30</v>
      </c>
      <c r="DD84" s="37">
        <v>10</v>
      </c>
      <c r="DE84" s="37">
        <v>20</v>
      </c>
      <c r="DF84" s="37">
        <v>40</v>
      </c>
      <c r="DG84" s="37">
        <v>20</v>
      </c>
      <c r="DH84" s="37">
        <v>300</v>
      </c>
      <c r="DI84" s="37">
        <v>150</v>
      </c>
      <c r="DJ84" s="38" t="s">
        <v>1255</v>
      </c>
      <c r="DK84" s="39" t="s">
        <v>409</v>
      </c>
      <c r="DL84" s="40">
        <v>150</v>
      </c>
      <c r="DM84" s="39" t="s">
        <v>1256</v>
      </c>
      <c r="DN84" s="24" t="s">
        <v>182</v>
      </c>
      <c r="DO84" s="25" t="s">
        <v>183</v>
      </c>
      <c r="DP84" s="25" t="s">
        <v>183</v>
      </c>
      <c r="DQ84" s="25" t="s">
        <v>183</v>
      </c>
      <c r="DR84" s="24" t="s">
        <v>182</v>
      </c>
      <c r="DS84" s="41"/>
      <c r="DT84" s="41"/>
      <c r="DU84" s="41"/>
      <c r="DV84" s="41"/>
      <c r="DW84" s="41"/>
      <c r="DX84" s="41"/>
      <c r="DY84" s="41"/>
      <c r="DZ84" s="42" t="s">
        <v>1257</v>
      </c>
      <c r="EA84" s="42" t="s">
        <v>1258</v>
      </c>
      <c r="EB84" s="43" t="s">
        <v>214</v>
      </c>
      <c r="EC84" s="44" t="s">
        <v>1259</v>
      </c>
      <c r="ED84" s="45" t="s">
        <v>216</v>
      </c>
      <c r="EE84" s="46">
        <v>8</v>
      </c>
      <c r="EF84" s="47" t="s">
        <v>217</v>
      </c>
    </row>
    <row r="85" spans="1:136" ht="15" customHeight="1" x14ac:dyDescent="0.25">
      <c r="A85" s="16" t="s">
        <v>1339</v>
      </c>
      <c r="B85" s="17" t="s">
        <v>409</v>
      </c>
      <c r="C85" s="17" t="s">
        <v>1339</v>
      </c>
      <c r="D85" s="18">
        <v>66</v>
      </c>
      <c r="E85" s="18">
        <v>1</v>
      </c>
      <c r="F85" s="18">
        <v>16.84</v>
      </c>
      <c r="G85" s="18">
        <v>3.3</v>
      </c>
      <c r="H85" s="18">
        <v>0.3</v>
      </c>
      <c r="I85" s="18">
        <v>14</v>
      </c>
      <c r="J85" s="18">
        <v>0.6</v>
      </c>
      <c r="K85" s="18">
        <v>21</v>
      </c>
      <c r="L85" s="18">
        <v>27</v>
      </c>
      <c r="M85" s="18">
        <v>278</v>
      </c>
      <c r="N85" s="18">
        <v>14</v>
      </c>
      <c r="O85" s="18">
        <v>0.1</v>
      </c>
      <c r="P85" s="18">
        <v>8.5999999999999993E-2</v>
      </c>
      <c r="Q85" s="18">
        <v>0</v>
      </c>
      <c r="R85" s="18">
        <v>0.6</v>
      </c>
      <c r="S85" s="18">
        <v>2</v>
      </c>
      <c r="T85" s="18">
        <v>0.08</v>
      </c>
      <c r="U85" s="18">
        <v>20.6</v>
      </c>
      <c r="V85" s="18">
        <v>7.0000000000000007E-2</v>
      </c>
      <c r="W85" s="18">
        <v>0.05</v>
      </c>
      <c r="X85" s="18">
        <v>0.9</v>
      </c>
      <c r="Y85" s="18">
        <v>5.8999999999999997E-2</v>
      </c>
      <c r="Z85" s="18">
        <v>0</v>
      </c>
      <c r="AA85" s="18">
        <v>14</v>
      </c>
      <c r="AB85" s="18">
        <v>411</v>
      </c>
      <c r="AC85" s="18" t="s">
        <v>1340</v>
      </c>
      <c r="AD85" s="18" t="s">
        <v>221</v>
      </c>
      <c r="AE85" s="18" t="s">
        <v>618</v>
      </c>
      <c r="AF85" s="18">
        <v>0</v>
      </c>
      <c r="AG85" s="18" t="s">
        <v>1341</v>
      </c>
      <c r="AH85" s="18" t="s">
        <v>1342</v>
      </c>
      <c r="AI85" s="18" t="s">
        <v>226</v>
      </c>
      <c r="AJ85" s="18" t="s">
        <v>337</v>
      </c>
      <c r="AK85" s="18" t="s">
        <v>157</v>
      </c>
      <c r="AL85" s="18" t="s">
        <v>314</v>
      </c>
      <c r="AM85" s="18">
        <v>0</v>
      </c>
      <c r="AN85" s="18" t="s">
        <v>566</v>
      </c>
      <c r="AO85" s="18" t="s">
        <v>1343</v>
      </c>
      <c r="AP85" s="18" t="s">
        <v>419</v>
      </c>
      <c r="AQ85" s="18" t="s">
        <v>362</v>
      </c>
      <c r="AR85" s="18">
        <v>20</v>
      </c>
      <c r="AS85" s="18">
        <v>30</v>
      </c>
      <c r="AT85" s="18">
        <v>13</v>
      </c>
      <c r="AU85" s="18">
        <v>36</v>
      </c>
      <c r="AV85" s="18">
        <v>1200</v>
      </c>
      <c r="AW85" s="18">
        <v>2200</v>
      </c>
      <c r="AX85" s="18">
        <v>800</v>
      </c>
      <c r="AY85" s="18">
        <v>4200</v>
      </c>
      <c r="AZ85" s="18">
        <v>5.5</v>
      </c>
      <c r="BA85" s="18">
        <v>6.5</v>
      </c>
      <c r="BB85" s="18">
        <v>4.5</v>
      </c>
      <c r="BC85" s="18">
        <v>8</v>
      </c>
      <c r="BD85" s="18">
        <v>0</v>
      </c>
      <c r="BE85" s="18">
        <v>0</v>
      </c>
      <c r="BF85" s="18">
        <v>20</v>
      </c>
      <c r="BG85" s="18">
        <v>30</v>
      </c>
      <c r="BH85" s="18">
        <v>1200</v>
      </c>
      <c r="BI85" s="18" t="s">
        <v>163</v>
      </c>
      <c r="BJ85" s="18" t="s">
        <v>164</v>
      </c>
      <c r="BK85" s="18" t="s">
        <v>163</v>
      </c>
      <c r="BL85" s="18" t="s">
        <v>165</v>
      </c>
      <c r="BM85" s="18" t="s">
        <v>288</v>
      </c>
      <c r="BN85" s="18" t="s">
        <v>201</v>
      </c>
      <c r="BO85" s="51" t="s">
        <v>168</v>
      </c>
      <c r="BP85" s="51" t="s">
        <v>203</v>
      </c>
      <c r="BQ85" s="51" t="s">
        <v>170</v>
      </c>
      <c r="BR85" s="51" t="s">
        <v>170</v>
      </c>
      <c r="BS85" s="51">
        <v>0</v>
      </c>
      <c r="BT85" s="51">
        <v>0</v>
      </c>
      <c r="BU85" s="51" t="s">
        <v>171</v>
      </c>
      <c r="BV85" s="51" t="s">
        <v>231</v>
      </c>
      <c r="BW85" s="51" t="s">
        <v>172</v>
      </c>
      <c r="BX85" s="51" t="s">
        <v>290</v>
      </c>
      <c r="BY85" s="51">
        <v>0</v>
      </c>
      <c r="BZ85" s="51">
        <v>0</v>
      </c>
      <c r="CA85" s="51" t="s">
        <v>173</v>
      </c>
      <c r="CB85" s="51" t="s">
        <v>342</v>
      </c>
      <c r="CC85" s="51">
        <v>0</v>
      </c>
      <c r="CD85" s="51">
        <v>0</v>
      </c>
      <c r="CE85" s="51">
        <v>0</v>
      </c>
      <c r="CF85" s="51">
        <v>0</v>
      </c>
      <c r="CG85" s="51">
        <v>180</v>
      </c>
      <c r="CH85" s="51">
        <v>365</v>
      </c>
      <c r="CI85" s="32">
        <v>4</v>
      </c>
      <c r="CJ85" s="32">
        <v>10</v>
      </c>
      <c r="CK85" s="32">
        <v>4</v>
      </c>
      <c r="CL85" s="32">
        <v>8</v>
      </c>
      <c r="CM85" s="33" t="s">
        <v>735</v>
      </c>
      <c r="CN85" s="34">
        <v>5</v>
      </c>
      <c r="CO85" s="34">
        <v>20</v>
      </c>
      <c r="CP85" s="35" t="s">
        <v>1344</v>
      </c>
      <c r="CQ85" s="35" t="s">
        <v>296</v>
      </c>
      <c r="CR85" s="36">
        <v>0</v>
      </c>
      <c r="CS85" s="36">
        <v>0</v>
      </c>
      <c r="CT85" s="36">
        <v>5</v>
      </c>
      <c r="CU85" s="36">
        <v>3</v>
      </c>
      <c r="CV85" s="36">
        <v>5</v>
      </c>
      <c r="CW85" s="36">
        <v>10</v>
      </c>
      <c r="CX85" s="36">
        <v>5</v>
      </c>
      <c r="CY85" s="36">
        <v>15</v>
      </c>
      <c r="CZ85" s="36">
        <v>6</v>
      </c>
      <c r="DA85" s="37">
        <v>0</v>
      </c>
      <c r="DB85" s="37">
        <v>0</v>
      </c>
      <c r="DC85" s="37">
        <v>40</v>
      </c>
      <c r="DD85" s="37">
        <v>20</v>
      </c>
      <c r="DE85" s="37">
        <v>35</v>
      </c>
      <c r="DF85" s="37">
        <v>80</v>
      </c>
      <c r="DG85" s="37">
        <v>30</v>
      </c>
      <c r="DH85" s="37">
        <v>300</v>
      </c>
      <c r="DI85" s="37">
        <v>60</v>
      </c>
      <c r="DJ85" s="38" t="s">
        <v>1345</v>
      </c>
      <c r="DK85" s="39" t="s">
        <v>409</v>
      </c>
      <c r="DL85" s="40">
        <v>150</v>
      </c>
      <c r="DM85" s="39" t="s">
        <v>1346</v>
      </c>
      <c r="DN85" s="25" t="s">
        <v>183</v>
      </c>
      <c r="DO85" s="25" t="s">
        <v>183</v>
      </c>
      <c r="DP85" s="24" t="s">
        <v>182</v>
      </c>
      <c r="DQ85" s="41"/>
      <c r="DR85" s="41"/>
      <c r="DS85" s="41"/>
      <c r="DT85" s="41"/>
      <c r="DU85" s="41"/>
      <c r="DV85" s="41"/>
      <c r="DW85" s="41"/>
      <c r="DX85" s="24" t="s">
        <v>182</v>
      </c>
      <c r="DY85" s="25" t="s">
        <v>183</v>
      </c>
      <c r="DZ85" s="42" t="s">
        <v>1347</v>
      </c>
      <c r="EA85" s="42" t="s">
        <v>1348</v>
      </c>
      <c r="EB85" s="43" t="s">
        <v>214</v>
      </c>
      <c r="EC85" s="44" t="s">
        <v>1349</v>
      </c>
      <c r="ED85" s="45" t="s">
        <v>475</v>
      </c>
      <c r="EE85" s="46">
        <v>3</v>
      </c>
      <c r="EF85" s="56" t="s">
        <v>497</v>
      </c>
    </row>
    <row r="86" spans="1:136" ht="15" customHeight="1" x14ac:dyDescent="0.25">
      <c r="A86" s="16" t="s">
        <v>1055</v>
      </c>
      <c r="B86" s="17" t="s">
        <v>409</v>
      </c>
      <c r="C86" s="17" t="s">
        <v>1056</v>
      </c>
      <c r="D86" s="18">
        <v>33.200000000000003</v>
      </c>
      <c r="E86" s="18">
        <v>2.2000000000000002</v>
      </c>
      <c r="F86" s="18">
        <v>0.2</v>
      </c>
      <c r="G86" s="18">
        <v>4.3</v>
      </c>
      <c r="H86" s="18">
        <v>2.2000000000000002</v>
      </c>
      <c r="I86" s="18">
        <v>20</v>
      </c>
      <c r="J86" s="18">
        <v>0.3</v>
      </c>
      <c r="K86" s="18">
        <v>12</v>
      </c>
      <c r="L86" s="18">
        <v>38</v>
      </c>
      <c r="M86" s="18">
        <v>310</v>
      </c>
      <c r="N86" s="18">
        <v>6</v>
      </c>
      <c r="O86" s="18">
        <v>0.2</v>
      </c>
      <c r="P86" s="18"/>
      <c r="Q86" s="18"/>
      <c r="R86" s="18">
        <v>0.6</v>
      </c>
      <c r="S86" s="18">
        <v>2</v>
      </c>
      <c r="T86" s="18">
        <v>0.87</v>
      </c>
      <c r="U86" s="18">
        <v>10</v>
      </c>
      <c r="V86" s="18">
        <v>0.01</v>
      </c>
      <c r="W86" s="18">
        <v>0.01</v>
      </c>
      <c r="X86" s="18">
        <v>0.7</v>
      </c>
      <c r="Y86" s="18">
        <v>0.05</v>
      </c>
      <c r="Z86" s="18">
        <v>0</v>
      </c>
      <c r="AA86" s="18">
        <v>6</v>
      </c>
      <c r="AB86" s="18">
        <v>2349</v>
      </c>
      <c r="AC86" s="18" t="s">
        <v>1057</v>
      </c>
      <c r="AD86" s="18" t="s">
        <v>221</v>
      </c>
      <c r="AE86" s="18" t="s">
        <v>562</v>
      </c>
      <c r="AF86" s="18"/>
      <c r="AG86" s="18" t="s">
        <v>1058</v>
      </c>
      <c r="AH86" s="18" t="s">
        <v>1059</v>
      </c>
      <c r="AI86" s="18" t="s">
        <v>155</v>
      </c>
      <c r="AJ86" s="18" t="s">
        <v>337</v>
      </c>
      <c r="AK86" s="18" t="s">
        <v>157</v>
      </c>
      <c r="AL86" s="18" t="s">
        <v>314</v>
      </c>
      <c r="AM86" s="18"/>
      <c r="AN86" s="18" t="s">
        <v>417</v>
      </c>
      <c r="AO86" s="18" t="s">
        <v>484</v>
      </c>
      <c r="AP86" s="18" t="s">
        <v>419</v>
      </c>
      <c r="AQ86" s="18" t="s">
        <v>162</v>
      </c>
      <c r="AR86" s="18">
        <v>15</v>
      </c>
      <c r="AS86" s="18">
        <v>25</v>
      </c>
      <c r="AT86" s="18">
        <v>10</v>
      </c>
      <c r="AU86" s="18">
        <v>38</v>
      </c>
      <c r="AV86" s="18">
        <v>700</v>
      </c>
      <c r="AW86" s="18">
        <v>1500</v>
      </c>
      <c r="AX86" s="18">
        <v>300</v>
      </c>
      <c r="AY86" s="18">
        <v>4000</v>
      </c>
      <c r="AZ86" s="18">
        <v>5.5</v>
      </c>
      <c r="BA86" s="18">
        <v>7</v>
      </c>
      <c r="BB86" s="18">
        <v>4.3</v>
      </c>
      <c r="BC86" s="18">
        <v>8.3000000000000007</v>
      </c>
      <c r="BD86" s="18">
        <v>20</v>
      </c>
      <c r="BE86" s="18"/>
      <c r="BF86" s="18">
        <v>40</v>
      </c>
      <c r="BG86" s="18">
        <v>60</v>
      </c>
      <c r="BH86" s="18">
        <v>3000</v>
      </c>
      <c r="BI86" s="18" t="s">
        <v>163</v>
      </c>
      <c r="BJ86" s="18" t="s">
        <v>163</v>
      </c>
      <c r="BK86" s="18" t="s">
        <v>163</v>
      </c>
      <c r="BL86" s="18" t="s">
        <v>165</v>
      </c>
      <c r="BM86" s="18" t="s">
        <v>166</v>
      </c>
      <c r="BN86" s="18" t="s">
        <v>201</v>
      </c>
      <c r="BO86" s="18" t="s">
        <v>202</v>
      </c>
      <c r="BP86" s="18" t="s">
        <v>203</v>
      </c>
      <c r="BQ86" s="18" t="s">
        <v>169</v>
      </c>
      <c r="BR86" s="18" t="s">
        <v>170</v>
      </c>
      <c r="BS86" s="18"/>
      <c r="BT86" s="18"/>
      <c r="BU86" s="18" t="s">
        <v>171</v>
      </c>
      <c r="BV86" s="18" t="s">
        <v>171</v>
      </c>
      <c r="BW86" s="18" t="s">
        <v>172</v>
      </c>
      <c r="BX86" s="18" t="s">
        <v>172</v>
      </c>
      <c r="BY86" s="18">
        <v>-5</v>
      </c>
      <c r="BZ86" s="18">
        <v>-1</v>
      </c>
      <c r="CA86" s="18" t="s">
        <v>173</v>
      </c>
      <c r="CB86" s="18" t="s">
        <v>1060</v>
      </c>
      <c r="CC86" s="18"/>
      <c r="CD86" s="18"/>
      <c r="CE86" s="18"/>
      <c r="CF86" s="18"/>
      <c r="CG86" s="18">
        <v>180</v>
      </c>
      <c r="CH86" s="18">
        <v>330</v>
      </c>
      <c r="CI86" s="19">
        <v>5</v>
      </c>
      <c r="CJ86" s="19">
        <v>15</v>
      </c>
      <c r="CK86" s="19">
        <v>5</v>
      </c>
      <c r="CL86" s="19">
        <v>12</v>
      </c>
      <c r="CM86" s="17" t="s">
        <v>1061</v>
      </c>
      <c r="CN86" s="20">
        <v>3</v>
      </c>
      <c r="CO86" s="20">
        <v>20</v>
      </c>
      <c r="CP86" s="17" t="s">
        <v>1062</v>
      </c>
      <c r="CQ86" s="17" t="s">
        <v>723</v>
      </c>
      <c r="CR86" s="21">
        <v>0</v>
      </c>
      <c r="CS86" s="21">
        <v>0</v>
      </c>
      <c r="CT86" s="21">
        <v>5</v>
      </c>
      <c r="CU86" s="21">
        <v>3</v>
      </c>
      <c r="CV86" s="21">
        <v>4</v>
      </c>
      <c r="CW86" s="21">
        <v>10</v>
      </c>
      <c r="CX86" s="21">
        <v>3</v>
      </c>
      <c r="CY86" s="21">
        <v>20</v>
      </c>
      <c r="CZ86" s="21">
        <v>5</v>
      </c>
      <c r="DA86" s="21">
        <v>0</v>
      </c>
      <c r="DB86" s="21">
        <v>0</v>
      </c>
      <c r="DC86" s="21">
        <v>40</v>
      </c>
      <c r="DD86" s="21">
        <v>20</v>
      </c>
      <c r="DE86" s="21">
        <v>30</v>
      </c>
      <c r="DF86" s="21">
        <v>80</v>
      </c>
      <c r="DG86" s="21">
        <v>20</v>
      </c>
      <c r="DH86" s="21">
        <v>400</v>
      </c>
      <c r="DI86" s="21">
        <v>60</v>
      </c>
      <c r="DJ86" s="17" t="s">
        <v>1063</v>
      </c>
      <c r="DK86" s="17" t="s">
        <v>409</v>
      </c>
      <c r="DL86" s="22">
        <v>150</v>
      </c>
      <c r="DM86" s="17" t="s">
        <v>1064</v>
      </c>
      <c r="DN86" s="24" t="s">
        <v>182</v>
      </c>
      <c r="DO86" s="23"/>
      <c r="DP86" s="23"/>
      <c r="DQ86" s="23"/>
      <c r="DR86" s="23"/>
      <c r="DS86" s="23"/>
      <c r="DT86" s="23"/>
      <c r="DU86" s="23"/>
      <c r="DV86" s="23"/>
      <c r="DW86" s="24" t="s">
        <v>182</v>
      </c>
      <c r="DX86" s="25" t="s">
        <v>183</v>
      </c>
      <c r="DY86" s="25" t="s">
        <v>183</v>
      </c>
      <c r="DZ86" s="17" t="s">
        <v>1065</v>
      </c>
      <c r="EA86" s="17" t="s">
        <v>1066</v>
      </c>
      <c r="EB86" s="52" t="s">
        <v>301</v>
      </c>
      <c r="EC86" s="17" t="s">
        <v>767</v>
      </c>
      <c r="ED86" s="27" t="s">
        <v>1067</v>
      </c>
      <c r="EE86" s="22">
        <v>4</v>
      </c>
      <c r="EF86" s="55" t="s">
        <v>1068</v>
      </c>
    </row>
    <row r="87" spans="1:136" ht="15" customHeight="1" x14ac:dyDescent="0.25">
      <c r="A87" s="16" t="s">
        <v>1281</v>
      </c>
      <c r="B87" s="29" t="s">
        <v>409</v>
      </c>
      <c r="C87" s="29" t="s">
        <v>1282</v>
      </c>
      <c r="D87" s="30">
        <v>57.8</v>
      </c>
      <c r="E87" s="30">
        <v>0.5</v>
      </c>
      <c r="F87" s="30">
        <v>0.2</v>
      </c>
      <c r="G87" s="30">
        <v>11</v>
      </c>
      <c r="H87" s="30">
        <v>5.2</v>
      </c>
      <c r="I87" s="30">
        <v>8</v>
      </c>
      <c r="J87" s="30">
        <v>0.1</v>
      </c>
      <c r="K87" s="30">
        <v>9</v>
      </c>
      <c r="L87" s="30">
        <v>17</v>
      </c>
      <c r="M87" s="30">
        <v>220</v>
      </c>
      <c r="N87" s="30">
        <v>16</v>
      </c>
      <c r="O87" s="30">
        <v>0.5</v>
      </c>
      <c r="P87" s="30"/>
      <c r="Q87" s="30"/>
      <c r="R87" s="30">
        <v>0.6</v>
      </c>
      <c r="S87" s="30">
        <v>8</v>
      </c>
      <c r="T87" s="30">
        <v>0.2</v>
      </c>
      <c r="U87" s="30">
        <v>39</v>
      </c>
      <c r="V87" s="30">
        <v>0.01</v>
      </c>
      <c r="W87" s="30">
        <v>0.02</v>
      </c>
      <c r="X87" s="30">
        <v>0.5</v>
      </c>
      <c r="Y87" s="30">
        <v>0.04</v>
      </c>
      <c r="Z87" s="30">
        <v>0</v>
      </c>
      <c r="AA87" s="30">
        <v>3</v>
      </c>
      <c r="AB87" s="31">
        <v>5117</v>
      </c>
      <c r="AC87" s="31" t="s">
        <v>1283</v>
      </c>
      <c r="AD87" s="31" t="s">
        <v>617</v>
      </c>
      <c r="AE87" s="31" t="s">
        <v>413</v>
      </c>
      <c r="AF87" s="31"/>
      <c r="AG87" s="31" t="s">
        <v>1284</v>
      </c>
      <c r="AH87" s="31" t="s">
        <v>1285</v>
      </c>
      <c r="AI87" s="31" t="s">
        <v>155</v>
      </c>
      <c r="AJ87" s="31" t="s">
        <v>621</v>
      </c>
      <c r="AK87" s="31" t="s">
        <v>157</v>
      </c>
      <c r="AL87" s="31" t="s">
        <v>314</v>
      </c>
      <c r="AM87" s="31"/>
      <c r="AN87" s="31" t="s">
        <v>622</v>
      </c>
      <c r="AO87" s="31" t="s">
        <v>933</v>
      </c>
      <c r="AP87" s="31" t="s">
        <v>419</v>
      </c>
      <c r="AQ87" s="31" t="s">
        <v>362</v>
      </c>
      <c r="AR87" s="31">
        <v>10</v>
      </c>
      <c r="AS87" s="31">
        <v>30</v>
      </c>
      <c r="AT87" s="31">
        <v>7</v>
      </c>
      <c r="AU87" s="31">
        <v>35</v>
      </c>
      <c r="AV87" s="31">
        <v>700</v>
      </c>
      <c r="AW87" s="31">
        <v>900</v>
      </c>
      <c r="AX87" s="31">
        <v>500</v>
      </c>
      <c r="AY87" s="31">
        <v>1100</v>
      </c>
      <c r="AZ87" s="31">
        <v>6</v>
      </c>
      <c r="BA87" s="31">
        <v>6.5</v>
      </c>
      <c r="BB87" s="31">
        <v>5.5</v>
      </c>
      <c r="BC87" s="31">
        <v>7</v>
      </c>
      <c r="BD87" s="31">
        <v>30</v>
      </c>
      <c r="BE87" s="31">
        <v>10</v>
      </c>
      <c r="BF87" s="31">
        <v>40</v>
      </c>
      <c r="BG87" s="31">
        <v>55</v>
      </c>
      <c r="BH87" s="31">
        <v>1000</v>
      </c>
      <c r="BI87" s="31" t="s">
        <v>163</v>
      </c>
      <c r="BJ87" s="31" t="s">
        <v>164</v>
      </c>
      <c r="BK87" s="31" t="s">
        <v>163</v>
      </c>
      <c r="BL87" s="31" t="s">
        <v>165</v>
      </c>
      <c r="BM87" s="31" t="s">
        <v>288</v>
      </c>
      <c r="BN87" s="31" t="s">
        <v>166</v>
      </c>
      <c r="BO87" s="31" t="s">
        <v>168</v>
      </c>
      <c r="BP87" s="31" t="s">
        <v>203</v>
      </c>
      <c r="BQ87" s="31" t="s">
        <v>170</v>
      </c>
      <c r="BR87" s="31" t="s">
        <v>230</v>
      </c>
      <c r="BS87" s="31"/>
      <c r="BT87" s="31"/>
      <c r="BU87" s="31" t="s">
        <v>171</v>
      </c>
      <c r="BV87" s="31" t="s">
        <v>171</v>
      </c>
      <c r="BW87" s="31" t="s">
        <v>172</v>
      </c>
      <c r="BX87" s="31" t="s">
        <v>172</v>
      </c>
      <c r="BY87" s="31">
        <v>-25</v>
      </c>
      <c r="BZ87" s="31">
        <v>-1</v>
      </c>
      <c r="CA87" s="31" t="s">
        <v>291</v>
      </c>
      <c r="CB87" s="31" t="s">
        <v>400</v>
      </c>
      <c r="CC87" s="31"/>
      <c r="CD87" s="31"/>
      <c r="CE87" s="31"/>
      <c r="CF87" s="31"/>
      <c r="CG87" s="31">
        <v>180</v>
      </c>
      <c r="CH87" s="31">
        <v>270</v>
      </c>
      <c r="CI87" s="19">
        <v>3</v>
      </c>
      <c r="CJ87" s="19">
        <v>7</v>
      </c>
      <c r="CK87" s="19">
        <v>3</v>
      </c>
      <c r="CL87" s="19">
        <v>6</v>
      </c>
      <c r="CM87" s="17" t="s">
        <v>624</v>
      </c>
      <c r="CN87" s="20">
        <v>5</v>
      </c>
      <c r="CO87" s="20">
        <v>20</v>
      </c>
      <c r="CP87" s="17" t="s">
        <v>1286</v>
      </c>
      <c r="CQ87" s="17" t="s">
        <v>209</v>
      </c>
      <c r="CR87" s="21">
        <v>0</v>
      </c>
      <c r="CS87" s="21">
        <v>0</v>
      </c>
      <c r="CT87" s="21">
        <v>6</v>
      </c>
      <c r="CU87" s="21">
        <v>3</v>
      </c>
      <c r="CV87" s="21">
        <v>5</v>
      </c>
      <c r="CW87" s="21">
        <v>15</v>
      </c>
      <c r="CX87" s="21">
        <v>5</v>
      </c>
      <c r="CY87" s="21">
        <v>20</v>
      </c>
      <c r="CZ87" s="21">
        <v>6</v>
      </c>
      <c r="DA87" s="21">
        <v>0</v>
      </c>
      <c r="DB87" s="21">
        <v>0</v>
      </c>
      <c r="DC87" s="21">
        <v>60</v>
      </c>
      <c r="DD87" s="21">
        <v>20</v>
      </c>
      <c r="DE87" s="21">
        <v>35</v>
      </c>
      <c r="DF87" s="21">
        <v>120</v>
      </c>
      <c r="DG87" s="21">
        <v>30</v>
      </c>
      <c r="DH87" s="21">
        <v>350</v>
      </c>
      <c r="DI87" s="21">
        <v>60</v>
      </c>
      <c r="DJ87" s="17" t="s">
        <v>1287</v>
      </c>
      <c r="DK87" s="17" t="s">
        <v>409</v>
      </c>
      <c r="DL87" s="22">
        <v>150</v>
      </c>
      <c r="DM87" s="17" t="s">
        <v>1288</v>
      </c>
      <c r="DN87" s="23"/>
      <c r="DO87" s="23"/>
      <c r="DP87" s="24" t="s">
        <v>182</v>
      </c>
      <c r="DQ87" s="25" t="s">
        <v>183</v>
      </c>
      <c r="DR87" s="25" t="s">
        <v>183</v>
      </c>
      <c r="DS87" s="24" t="s">
        <v>182</v>
      </c>
      <c r="DT87" s="23"/>
      <c r="DU87" s="23"/>
      <c r="DV87" s="23"/>
      <c r="DW87" s="23"/>
      <c r="DX87" s="23"/>
      <c r="DY87" s="23"/>
      <c r="DZ87" s="17" t="s">
        <v>1289</v>
      </c>
      <c r="EA87" s="17" t="s">
        <v>1290</v>
      </c>
      <c r="EB87" s="48" t="s">
        <v>239</v>
      </c>
      <c r="EC87" s="17" t="s">
        <v>1291</v>
      </c>
      <c r="ED87" s="27" t="s">
        <v>1292</v>
      </c>
      <c r="EE87" s="22">
        <v>5</v>
      </c>
      <c r="EF87" s="49" t="s">
        <v>1293</v>
      </c>
    </row>
    <row r="88" spans="1:136" ht="15" customHeight="1" x14ac:dyDescent="0.25">
      <c r="A88" s="16" t="s">
        <v>1959</v>
      </c>
      <c r="B88" s="17" t="s">
        <v>1960</v>
      </c>
      <c r="C88" s="17" t="s">
        <v>1961</v>
      </c>
      <c r="D88" s="18">
        <v>30.4</v>
      </c>
      <c r="E88" s="18">
        <v>1.7</v>
      </c>
      <c r="F88" s="18">
        <v>0.2</v>
      </c>
      <c r="G88" s="18">
        <v>4.5999999999999996</v>
      </c>
      <c r="H88" s="18">
        <v>1.9</v>
      </c>
      <c r="I88" s="18">
        <v>22</v>
      </c>
      <c r="J88" s="18">
        <v>0.5</v>
      </c>
      <c r="K88" s="18">
        <v>11</v>
      </c>
      <c r="L88" s="18">
        <v>37</v>
      </c>
      <c r="M88" s="18">
        <v>140</v>
      </c>
      <c r="N88" s="18">
        <v>13</v>
      </c>
      <c r="O88" s="18">
        <v>0.1</v>
      </c>
      <c r="P88" s="18"/>
      <c r="Q88" s="18"/>
      <c r="R88" s="18">
        <v>0.6</v>
      </c>
      <c r="S88" s="18">
        <v>104</v>
      </c>
      <c r="T88" s="18">
        <v>0.55000000000000004</v>
      </c>
      <c r="U88" s="18">
        <v>32</v>
      </c>
      <c r="V88" s="18">
        <v>0.02</v>
      </c>
      <c r="W88" s="18">
        <v>0.06</v>
      </c>
      <c r="X88" s="18">
        <v>1.1000000000000001</v>
      </c>
      <c r="Y88" s="18">
        <v>0.04</v>
      </c>
      <c r="Z88" s="18">
        <v>0</v>
      </c>
      <c r="AA88" s="18">
        <v>6</v>
      </c>
      <c r="AB88" s="18">
        <v>364</v>
      </c>
      <c r="AC88" s="18" t="s">
        <v>220</v>
      </c>
      <c r="AD88" s="18" t="s">
        <v>221</v>
      </c>
      <c r="AE88" s="18" t="s">
        <v>222</v>
      </c>
      <c r="AF88" s="18" t="s">
        <v>223</v>
      </c>
      <c r="AG88" s="18" t="s">
        <v>224</v>
      </c>
      <c r="AH88" s="18" t="s">
        <v>225</v>
      </c>
      <c r="AI88" s="18" t="s">
        <v>226</v>
      </c>
      <c r="AJ88" s="18" t="s">
        <v>156</v>
      </c>
      <c r="AK88" s="18" t="s">
        <v>157</v>
      </c>
      <c r="AL88" s="18" t="s">
        <v>227</v>
      </c>
      <c r="AM88" s="18"/>
      <c r="AN88" s="18"/>
      <c r="AO88" s="18" t="s">
        <v>228</v>
      </c>
      <c r="AP88" s="18" t="s">
        <v>161</v>
      </c>
      <c r="AQ88" s="18" t="s">
        <v>162</v>
      </c>
      <c r="AR88" s="18">
        <v>12</v>
      </c>
      <c r="AS88" s="18">
        <v>25</v>
      </c>
      <c r="AT88" s="18">
        <v>4</v>
      </c>
      <c r="AU88" s="18">
        <v>30</v>
      </c>
      <c r="AV88" s="18">
        <v>350</v>
      </c>
      <c r="AW88" s="18">
        <v>600</v>
      </c>
      <c r="AX88" s="18">
        <v>300</v>
      </c>
      <c r="AY88" s="18">
        <v>2800</v>
      </c>
      <c r="AZ88" s="18">
        <v>6</v>
      </c>
      <c r="BA88" s="18">
        <v>7</v>
      </c>
      <c r="BB88" s="18">
        <v>4.3</v>
      </c>
      <c r="BC88" s="18">
        <v>8.3000000000000007</v>
      </c>
      <c r="BD88" s="18"/>
      <c r="BE88" s="18"/>
      <c r="BF88" s="18">
        <v>60</v>
      </c>
      <c r="BG88" s="18">
        <v>60</v>
      </c>
      <c r="BH88" s="18">
        <v>2000</v>
      </c>
      <c r="BI88" s="18" t="s">
        <v>164</v>
      </c>
      <c r="BJ88" s="18" t="s">
        <v>164</v>
      </c>
      <c r="BK88" s="18" t="s">
        <v>165</v>
      </c>
      <c r="BL88" s="18" t="s">
        <v>163</v>
      </c>
      <c r="BM88" s="18" t="s">
        <v>166</v>
      </c>
      <c r="BN88" s="18" t="s">
        <v>201</v>
      </c>
      <c r="BO88" s="18" t="s">
        <v>167</v>
      </c>
      <c r="BP88" s="18" t="s">
        <v>229</v>
      </c>
      <c r="BQ88" s="18" t="s">
        <v>170</v>
      </c>
      <c r="BR88" s="18" t="s">
        <v>230</v>
      </c>
      <c r="BS88" s="18"/>
      <c r="BT88" s="18"/>
      <c r="BU88" s="18" t="s">
        <v>171</v>
      </c>
      <c r="BV88" s="18" t="s">
        <v>231</v>
      </c>
      <c r="BW88" s="18" t="s">
        <v>172</v>
      </c>
      <c r="BX88" s="18" t="s">
        <v>172</v>
      </c>
      <c r="BY88" s="18"/>
      <c r="BZ88" s="18"/>
      <c r="CA88" s="18" t="s">
        <v>173</v>
      </c>
      <c r="CB88" s="18" t="s">
        <v>232</v>
      </c>
      <c r="CC88" s="18"/>
      <c r="CD88" s="18"/>
      <c r="CE88" s="18"/>
      <c r="CF88" s="18" t="s">
        <v>206</v>
      </c>
      <c r="CG88" s="18">
        <v>85</v>
      </c>
      <c r="CH88" s="18">
        <v>175</v>
      </c>
      <c r="CI88" s="19">
        <v>0.3</v>
      </c>
      <c r="CJ88" s="19">
        <v>0.6</v>
      </c>
      <c r="CK88" s="19">
        <v>0.05</v>
      </c>
      <c r="CL88" s="19">
        <v>0.15</v>
      </c>
      <c r="CM88" s="17" t="s">
        <v>1962</v>
      </c>
      <c r="CN88" s="20">
        <v>10</v>
      </c>
      <c r="CO88" s="20">
        <v>40</v>
      </c>
      <c r="CP88" s="17" t="s">
        <v>1963</v>
      </c>
      <c r="CQ88" s="17" t="s">
        <v>1964</v>
      </c>
      <c r="CR88" s="21">
        <v>4</v>
      </c>
      <c r="CS88" s="21">
        <v>5</v>
      </c>
      <c r="CT88" s="21">
        <v>8</v>
      </c>
      <c r="CU88" s="21">
        <v>2</v>
      </c>
      <c r="CV88" s="21">
        <v>3</v>
      </c>
      <c r="CW88" s="21">
        <v>0</v>
      </c>
      <c r="CX88" s="21">
        <v>3</v>
      </c>
      <c r="CY88" s="21">
        <v>15</v>
      </c>
      <c r="CZ88" s="21">
        <v>8</v>
      </c>
      <c r="DA88" s="21">
        <v>120</v>
      </c>
      <c r="DB88" s="21">
        <v>120</v>
      </c>
      <c r="DC88" s="21">
        <v>250</v>
      </c>
      <c r="DD88" s="21">
        <v>20</v>
      </c>
      <c r="DE88" s="21">
        <v>25</v>
      </c>
      <c r="DF88" s="21">
        <v>0</v>
      </c>
      <c r="DG88" s="21">
        <v>30</v>
      </c>
      <c r="DH88" s="21">
        <v>350</v>
      </c>
      <c r="DI88" s="21">
        <v>120</v>
      </c>
      <c r="DJ88" s="17" t="s">
        <v>1965</v>
      </c>
      <c r="DK88" s="17" t="s">
        <v>180</v>
      </c>
      <c r="DL88" s="22">
        <v>75</v>
      </c>
      <c r="DM88" s="17" t="s">
        <v>1966</v>
      </c>
      <c r="DN88" s="25" t="s">
        <v>183</v>
      </c>
      <c r="DO88" s="25" t="s">
        <v>183</v>
      </c>
      <c r="DP88" s="25" t="s">
        <v>183</v>
      </c>
      <c r="DQ88" s="24" t="s">
        <v>182</v>
      </c>
      <c r="DR88" s="23"/>
      <c r="DS88" s="23"/>
      <c r="DT88" s="24" t="s">
        <v>182</v>
      </c>
      <c r="DU88" s="25" t="s">
        <v>183</v>
      </c>
      <c r="DV88" s="25" t="s">
        <v>183</v>
      </c>
      <c r="DW88" s="25" t="s">
        <v>183</v>
      </c>
      <c r="DX88" s="25" t="s">
        <v>183</v>
      </c>
      <c r="DY88" s="25" t="s">
        <v>183</v>
      </c>
      <c r="DZ88" s="17" t="s">
        <v>1967</v>
      </c>
      <c r="EA88" s="17" t="s">
        <v>1831</v>
      </c>
      <c r="EB88" s="43" t="s">
        <v>214</v>
      </c>
      <c r="EC88" s="17" t="s">
        <v>925</v>
      </c>
      <c r="ED88" s="27" t="s">
        <v>475</v>
      </c>
      <c r="EE88" s="22">
        <v>1</v>
      </c>
      <c r="EF88" s="54" t="s">
        <v>304</v>
      </c>
    </row>
    <row r="89" spans="1:136" ht="15" customHeight="1" x14ac:dyDescent="0.25">
      <c r="A89" s="16" t="s">
        <v>1317</v>
      </c>
      <c r="B89" s="17" t="s">
        <v>409</v>
      </c>
      <c r="C89" s="17" t="s">
        <v>1317</v>
      </c>
      <c r="D89" s="18">
        <v>83</v>
      </c>
      <c r="E89" s="18">
        <v>0.44</v>
      </c>
      <c r="F89" s="18">
        <v>19.96</v>
      </c>
      <c r="G89" s="18">
        <v>5.3</v>
      </c>
      <c r="H89" s="18">
        <v>1.1000000000000001</v>
      </c>
      <c r="I89" s="18">
        <v>21</v>
      </c>
      <c r="J89" s="18">
        <v>0.8</v>
      </c>
      <c r="K89" s="18">
        <v>12</v>
      </c>
      <c r="L89" s="18">
        <v>12</v>
      </c>
      <c r="M89" s="18">
        <v>193</v>
      </c>
      <c r="N89" s="18">
        <v>12</v>
      </c>
      <c r="O89" s="18">
        <v>0.1</v>
      </c>
      <c r="P89" s="18">
        <v>8.5999999999999993E-2</v>
      </c>
      <c r="Q89" s="18">
        <v>0</v>
      </c>
      <c r="R89" s="18">
        <v>0.6</v>
      </c>
      <c r="S89" s="18">
        <v>60</v>
      </c>
      <c r="T89" s="18">
        <v>0</v>
      </c>
      <c r="U89" s="18">
        <v>14.7</v>
      </c>
      <c r="V89" s="18">
        <v>0</v>
      </c>
      <c r="W89" s="18">
        <v>0.02</v>
      </c>
      <c r="X89" s="18">
        <v>0.2</v>
      </c>
      <c r="Y89" s="18">
        <v>3.6999999999999998E-2</v>
      </c>
      <c r="Z89" s="18">
        <v>0</v>
      </c>
      <c r="AA89" s="18">
        <v>14</v>
      </c>
      <c r="AB89" s="18">
        <v>2334</v>
      </c>
      <c r="AC89" s="18" t="s">
        <v>1318</v>
      </c>
      <c r="AD89" s="18" t="s">
        <v>1319</v>
      </c>
      <c r="AE89" s="18" t="s">
        <v>1320</v>
      </c>
      <c r="AF89" s="18" t="s">
        <v>1321</v>
      </c>
      <c r="AG89" s="18" t="s">
        <v>1317</v>
      </c>
      <c r="AH89" s="18" t="s">
        <v>1322</v>
      </c>
      <c r="AI89" s="18" t="s">
        <v>226</v>
      </c>
      <c r="AJ89" s="18" t="s">
        <v>337</v>
      </c>
      <c r="AK89" s="18" t="s">
        <v>157</v>
      </c>
      <c r="AL89" s="18" t="s">
        <v>314</v>
      </c>
      <c r="AM89" s="18">
        <v>0</v>
      </c>
      <c r="AN89" s="18" t="s">
        <v>338</v>
      </c>
      <c r="AO89" s="18" t="s">
        <v>1323</v>
      </c>
      <c r="AP89" s="18" t="s">
        <v>419</v>
      </c>
      <c r="AQ89" s="18" t="s">
        <v>362</v>
      </c>
      <c r="AR89" s="18">
        <v>20</v>
      </c>
      <c r="AS89" s="18">
        <v>34</v>
      </c>
      <c r="AT89" s="18">
        <v>11</v>
      </c>
      <c r="AU89" s="18">
        <v>42</v>
      </c>
      <c r="AV89" s="18">
        <v>1000</v>
      </c>
      <c r="AW89" s="18">
        <v>1500</v>
      </c>
      <c r="AX89" s="18">
        <v>400</v>
      </c>
      <c r="AY89" s="18">
        <v>2000</v>
      </c>
      <c r="AZ89" s="18">
        <v>6</v>
      </c>
      <c r="BA89" s="18">
        <v>7</v>
      </c>
      <c r="BB89" s="18">
        <v>5.5</v>
      </c>
      <c r="BC89" s="18">
        <v>8.5</v>
      </c>
      <c r="BD89" s="18">
        <v>10</v>
      </c>
      <c r="BE89" s="18">
        <v>0</v>
      </c>
      <c r="BF89" s="18">
        <v>20</v>
      </c>
      <c r="BG89" s="18">
        <v>30</v>
      </c>
      <c r="BH89" s="18">
        <v>2500</v>
      </c>
      <c r="BI89" s="18" t="s">
        <v>164</v>
      </c>
      <c r="BJ89" s="18" t="s">
        <v>165</v>
      </c>
      <c r="BK89" s="18" t="s">
        <v>163</v>
      </c>
      <c r="BL89" s="18" t="s">
        <v>317</v>
      </c>
      <c r="BM89" s="18" t="s">
        <v>288</v>
      </c>
      <c r="BN89" s="18" t="s">
        <v>201</v>
      </c>
      <c r="BO89" s="51" t="s">
        <v>202</v>
      </c>
      <c r="BP89" s="51" t="s">
        <v>203</v>
      </c>
      <c r="BQ89" s="51" t="s">
        <v>169</v>
      </c>
      <c r="BR89" s="51" t="s">
        <v>170</v>
      </c>
      <c r="BS89" s="51">
        <v>0</v>
      </c>
      <c r="BT89" s="51">
        <v>0</v>
      </c>
      <c r="BU89" s="51" t="s">
        <v>171</v>
      </c>
      <c r="BV89" s="51" t="s">
        <v>231</v>
      </c>
      <c r="BW89" s="51" t="s">
        <v>172</v>
      </c>
      <c r="BX89" s="51" t="s">
        <v>172</v>
      </c>
      <c r="BY89" s="51">
        <v>-1</v>
      </c>
      <c r="BZ89" s="51">
        <v>-1</v>
      </c>
      <c r="CA89" s="51" t="s">
        <v>173</v>
      </c>
      <c r="CB89" s="51" t="s">
        <v>292</v>
      </c>
      <c r="CC89" s="51" t="s">
        <v>805</v>
      </c>
      <c r="CD89" s="51">
        <v>0</v>
      </c>
      <c r="CE89" s="51">
        <v>0</v>
      </c>
      <c r="CF89" s="51">
        <v>0</v>
      </c>
      <c r="CG89" s="51">
        <v>180</v>
      </c>
      <c r="CH89" s="51">
        <v>365</v>
      </c>
      <c r="CI89" s="32">
        <v>10</v>
      </c>
      <c r="CJ89" s="32">
        <v>25</v>
      </c>
      <c r="CK89" s="32">
        <v>8</v>
      </c>
      <c r="CL89" s="32">
        <v>15</v>
      </c>
      <c r="CM89" s="33" t="s">
        <v>568</v>
      </c>
      <c r="CN89" s="34">
        <v>8</v>
      </c>
      <c r="CO89" s="34">
        <v>25</v>
      </c>
      <c r="CP89" s="35" t="s">
        <v>1324</v>
      </c>
      <c r="CQ89" s="35" t="s">
        <v>296</v>
      </c>
      <c r="CR89" s="36">
        <v>0</v>
      </c>
      <c r="CS89" s="36">
        <v>0</v>
      </c>
      <c r="CT89" s="36">
        <v>5</v>
      </c>
      <c r="CU89" s="36">
        <v>3</v>
      </c>
      <c r="CV89" s="36">
        <v>4</v>
      </c>
      <c r="CW89" s="36">
        <v>8</v>
      </c>
      <c r="CX89" s="36">
        <v>4</v>
      </c>
      <c r="CY89" s="36">
        <v>15</v>
      </c>
      <c r="CZ89" s="36">
        <v>6</v>
      </c>
      <c r="DA89" s="37">
        <v>0</v>
      </c>
      <c r="DB89" s="37">
        <v>0</v>
      </c>
      <c r="DC89" s="37">
        <v>40</v>
      </c>
      <c r="DD89" s="37">
        <v>20</v>
      </c>
      <c r="DE89" s="37">
        <v>30</v>
      </c>
      <c r="DF89" s="37">
        <v>60</v>
      </c>
      <c r="DG89" s="37">
        <v>30</v>
      </c>
      <c r="DH89" s="37">
        <v>300</v>
      </c>
      <c r="DI89" s="37">
        <v>60</v>
      </c>
      <c r="DJ89" s="38" t="s">
        <v>1238</v>
      </c>
      <c r="DK89" s="39" t="s">
        <v>409</v>
      </c>
      <c r="DL89" s="40">
        <v>150</v>
      </c>
      <c r="DM89" s="39" t="s">
        <v>1325</v>
      </c>
      <c r="DN89" s="41"/>
      <c r="DO89" s="41"/>
      <c r="DP89" s="41"/>
      <c r="DQ89" s="41"/>
      <c r="DR89" s="41"/>
      <c r="DS89" s="24" t="s">
        <v>182</v>
      </c>
      <c r="DT89" s="25" t="s">
        <v>183</v>
      </c>
      <c r="DU89" s="25" t="s">
        <v>183</v>
      </c>
      <c r="DV89" s="25" t="s">
        <v>183</v>
      </c>
      <c r="DW89" s="24" t="s">
        <v>182</v>
      </c>
      <c r="DX89" s="41"/>
      <c r="DY89" s="41"/>
      <c r="DZ89" s="42" t="s">
        <v>1326</v>
      </c>
      <c r="EA89" s="42" t="s">
        <v>1327</v>
      </c>
      <c r="EB89" s="43" t="s">
        <v>214</v>
      </c>
      <c r="EC89" s="44" t="s">
        <v>630</v>
      </c>
      <c r="ED89" s="45" t="s">
        <v>216</v>
      </c>
      <c r="EE89" s="46">
        <v>2</v>
      </c>
      <c r="EF89" s="47" t="s">
        <v>304</v>
      </c>
    </row>
    <row r="90" spans="1:136" ht="15" customHeight="1" x14ac:dyDescent="0.25">
      <c r="A90" s="16" t="s">
        <v>646</v>
      </c>
      <c r="B90" s="29" t="s">
        <v>409</v>
      </c>
      <c r="C90" s="29" t="s">
        <v>647</v>
      </c>
      <c r="D90" s="30">
        <v>43.3</v>
      </c>
      <c r="E90" s="30">
        <v>2.8</v>
      </c>
      <c r="F90" s="30">
        <v>0.3</v>
      </c>
      <c r="G90" s="30">
        <v>1</v>
      </c>
      <c r="H90" s="30">
        <v>12.9</v>
      </c>
      <c r="I90" s="30">
        <v>12</v>
      </c>
      <c r="J90" s="30">
        <v>1.6</v>
      </c>
      <c r="K90" s="30">
        <v>11</v>
      </c>
      <c r="L90" s="30">
        <v>20</v>
      </c>
      <c r="M90" s="30">
        <v>280</v>
      </c>
      <c r="N90" s="30">
        <v>4</v>
      </c>
      <c r="O90" s="30">
        <v>0.4</v>
      </c>
      <c r="P90" s="30"/>
      <c r="Q90" s="30"/>
      <c r="R90" s="30">
        <v>0.5</v>
      </c>
      <c r="S90" s="30">
        <v>32</v>
      </c>
      <c r="T90" s="30">
        <v>0.69</v>
      </c>
      <c r="U90" s="30">
        <v>128</v>
      </c>
      <c r="V90" s="30">
        <v>7.0000000000000007E-2</v>
      </c>
      <c r="W90" s="30">
        <v>0.08</v>
      </c>
      <c r="X90" s="30">
        <v>1.4</v>
      </c>
      <c r="Y90" s="30">
        <v>0.28000000000000003</v>
      </c>
      <c r="Z90" s="30">
        <v>0</v>
      </c>
      <c r="AA90" s="30">
        <v>23</v>
      </c>
      <c r="AB90" s="31">
        <v>621</v>
      </c>
      <c r="AC90" s="31" t="s">
        <v>648</v>
      </c>
      <c r="AD90" s="31" t="s">
        <v>221</v>
      </c>
      <c r="AE90" s="31" t="s">
        <v>579</v>
      </c>
      <c r="AF90" s="31"/>
      <c r="AG90" s="31" t="s">
        <v>649</v>
      </c>
      <c r="AH90" s="31" t="s">
        <v>650</v>
      </c>
      <c r="AI90" s="31" t="s">
        <v>155</v>
      </c>
      <c r="AJ90" s="31" t="s">
        <v>482</v>
      </c>
      <c r="AK90" s="31" t="s">
        <v>157</v>
      </c>
      <c r="AL90" s="31" t="s">
        <v>314</v>
      </c>
      <c r="AM90" s="31"/>
      <c r="AN90" s="31" t="s">
        <v>506</v>
      </c>
      <c r="AO90" s="31" t="s">
        <v>419</v>
      </c>
      <c r="AP90" s="31" t="s">
        <v>419</v>
      </c>
      <c r="AQ90" s="31" t="s">
        <v>362</v>
      </c>
      <c r="AR90" s="31">
        <v>18</v>
      </c>
      <c r="AS90" s="31">
        <v>30</v>
      </c>
      <c r="AT90" s="31">
        <v>7</v>
      </c>
      <c r="AU90" s="31">
        <v>40</v>
      </c>
      <c r="AV90" s="31">
        <v>600</v>
      </c>
      <c r="AW90" s="31">
        <v>1500</v>
      </c>
      <c r="AX90" s="31">
        <v>400</v>
      </c>
      <c r="AY90" s="31">
        <v>2000</v>
      </c>
      <c r="AZ90" s="31">
        <v>5.5</v>
      </c>
      <c r="BA90" s="31">
        <v>6.8</v>
      </c>
      <c r="BB90" s="31">
        <v>4.3</v>
      </c>
      <c r="BC90" s="31">
        <v>8.3000000000000007</v>
      </c>
      <c r="BD90" s="31"/>
      <c r="BE90" s="31"/>
      <c r="BF90" s="31">
        <v>40</v>
      </c>
      <c r="BG90" s="31">
        <v>40</v>
      </c>
      <c r="BH90" s="31">
        <v>2000</v>
      </c>
      <c r="BI90" s="31" t="s">
        <v>163</v>
      </c>
      <c r="BJ90" s="31" t="s">
        <v>163</v>
      </c>
      <c r="BK90" s="31" t="s">
        <v>163</v>
      </c>
      <c r="BL90" s="31" t="s">
        <v>165</v>
      </c>
      <c r="BM90" s="31" t="s">
        <v>201</v>
      </c>
      <c r="BN90" s="31" t="s">
        <v>201</v>
      </c>
      <c r="BO90" s="31" t="s">
        <v>167</v>
      </c>
      <c r="BP90" s="31" t="s">
        <v>203</v>
      </c>
      <c r="BQ90" s="31" t="s">
        <v>169</v>
      </c>
      <c r="BR90" s="31" t="s">
        <v>170</v>
      </c>
      <c r="BS90" s="31"/>
      <c r="BT90" s="31"/>
      <c r="BU90" s="31" t="s">
        <v>171</v>
      </c>
      <c r="BV90" s="31"/>
      <c r="BW90" s="31" t="s">
        <v>172</v>
      </c>
      <c r="BX90" s="31" t="s">
        <v>172</v>
      </c>
      <c r="BY90" s="31"/>
      <c r="BZ90" s="31"/>
      <c r="CA90" s="31" t="s">
        <v>508</v>
      </c>
      <c r="CB90" s="31" t="s">
        <v>651</v>
      </c>
      <c r="CC90" s="31"/>
      <c r="CD90" s="31"/>
      <c r="CE90" s="31"/>
      <c r="CF90" s="31"/>
      <c r="CG90" s="31">
        <v>120</v>
      </c>
      <c r="CH90" s="31">
        <v>180</v>
      </c>
      <c r="CI90" s="19">
        <v>0.5</v>
      </c>
      <c r="CJ90" s="19">
        <v>1.5</v>
      </c>
      <c r="CK90" s="19">
        <v>0.4</v>
      </c>
      <c r="CL90" s="19">
        <v>0.8</v>
      </c>
      <c r="CM90" s="17" t="s">
        <v>652</v>
      </c>
      <c r="CN90" s="20">
        <v>5</v>
      </c>
      <c r="CO90" s="20">
        <v>30</v>
      </c>
      <c r="CP90" s="17" t="s">
        <v>653</v>
      </c>
      <c r="CQ90" s="17" t="s">
        <v>209</v>
      </c>
      <c r="CR90" s="21">
        <v>5</v>
      </c>
      <c r="CS90" s="21">
        <v>8</v>
      </c>
      <c r="CT90" s="21">
        <v>8</v>
      </c>
      <c r="CU90" s="21">
        <v>4</v>
      </c>
      <c r="CV90" s="21">
        <v>6</v>
      </c>
      <c r="CW90" s="21">
        <v>5</v>
      </c>
      <c r="CX90" s="21">
        <v>5</v>
      </c>
      <c r="CY90" s="21">
        <v>20</v>
      </c>
      <c r="CZ90" s="21">
        <v>8</v>
      </c>
      <c r="DA90" s="21">
        <v>140</v>
      </c>
      <c r="DB90" s="21">
        <v>180</v>
      </c>
      <c r="DC90" s="21">
        <v>250</v>
      </c>
      <c r="DD90" s="21">
        <v>30</v>
      </c>
      <c r="DE90" s="21">
        <v>50</v>
      </c>
      <c r="DF90" s="21">
        <v>50</v>
      </c>
      <c r="DG90" s="21">
        <v>50</v>
      </c>
      <c r="DH90" s="21">
        <v>450</v>
      </c>
      <c r="DI90" s="21">
        <v>100</v>
      </c>
      <c r="DJ90" s="17" t="s">
        <v>654</v>
      </c>
      <c r="DK90" s="17" t="s">
        <v>180</v>
      </c>
      <c r="DL90" s="22">
        <v>75</v>
      </c>
      <c r="DM90" s="17" t="s">
        <v>655</v>
      </c>
      <c r="DN90" s="25" t="s">
        <v>183</v>
      </c>
      <c r="DO90" s="25" t="s">
        <v>183</v>
      </c>
      <c r="DP90" s="25" t="s">
        <v>183</v>
      </c>
      <c r="DQ90" s="24" t="s">
        <v>182</v>
      </c>
      <c r="DR90" s="23"/>
      <c r="DS90" s="23"/>
      <c r="DT90" s="23"/>
      <c r="DU90" s="23"/>
      <c r="DV90" s="23"/>
      <c r="DW90" s="23"/>
      <c r="DX90" s="24" t="s">
        <v>182</v>
      </c>
      <c r="DY90" s="25" t="s">
        <v>183</v>
      </c>
      <c r="DZ90" s="17" t="s">
        <v>656</v>
      </c>
      <c r="EA90" s="17" t="s">
        <v>590</v>
      </c>
      <c r="EB90" s="52" t="s">
        <v>301</v>
      </c>
      <c r="EC90" s="17" t="s">
        <v>657</v>
      </c>
      <c r="ED90" s="27" t="s">
        <v>658</v>
      </c>
      <c r="EE90" s="22">
        <v>4</v>
      </c>
      <c r="EF90" s="54" t="s">
        <v>217</v>
      </c>
    </row>
    <row r="91" spans="1:136" ht="15" customHeight="1" x14ac:dyDescent="0.25">
      <c r="A91" s="16" t="s">
        <v>354</v>
      </c>
      <c r="B91" s="17" t="s">
        <v>355</v>
      </c>
      <c r="C91" s="17" t="s">
        <v>356</v>
      </c>
      <c r="D91" s="18">
        <v>32</v>
      </c>
      <c r="E91" s="18">
        <v>4</v>
      </c>
      <c r="F91" s="18">
        <v>0.4</v>
      </c>
      <c r="G91" s="18">
        <v>1.2</v>
      </c>
      <c r="H91" s="18">
        <v>3.5</v>
      </c>
      <c r="I91" s="18">
        <v>36</v>
      </c>
      <c r="J91" s="18">
        <v>0.72</v>
      </c>
      <c r="K91" s="18">
        <v>21</v>
      </c>
      <c r="L91" s="18">
        <v>74</v>
      </c>
      <c r="M91" s="18">
        <v>341</v>
      </c>
      <c r="N91" s="18">
        <v>20</v>
      </c>
      <c r="O91" s="18">
        <v>0.52</v>
      </c>
      <c r="P91" s="18">
        <v>4.8000000000000001E-2</v>
      </c>
      <c r="Q91" s="18">
        <v>0.19700000000000001</v>
      </c>
      <c r="R91" s="18">
        <v>0.5</v>
      </c>
      <c r="S91" s="18">
        <v>36</v>
      </c>
      <c r="T91" s="18">
        <v>0.46</v>
      </c>
      <c r="U91" s="18">
        <v>88</v>
      </c>
      <c r="V91" s="18">
        <v>7.0000000000000007E-2</v>
      </c>
      <c r="W91" s="18">
        <v>0.17</v>
      </c>
      <c r="X91" s="18">
        <v>0.45</v>
      </c>
      <c r="Y91" s="18">
        <v>0.15</v>
      </c>
      <c r="Z91" s="18">
        <v>0</v>
      </c>
      <c r="AA91" s="18">
        <v>152</v>
      </c>
      <c r="AB91" s="18">
        <v>556</v>
      </c>
      <c r="AC91" s="59" t="s">
        <v>357</v>
      </c>
      <c r="AD91" s="18" t="s">
        <v>358</v>
      </c>
      <c r="AE91" s="18" t="s">
        <v>152</v>
      </c>
      <c r="AF91" s="18" t="s">
        <v>359</v>
      </c>
      <c r="AG91" s="18" t="s">
        <v>360</v>
      </c>
      <c r="AH91" s="18" t="s">
        <v>361</v>
      </c>
      <c r="AI91" s="18" t="s">
        <v>155</v>
      </c>
      <c r="AJ91" s="18" t="s">
        <v>156</v>
      </c>
      <c r="AK91" s="18" t="s">
        <v>157</v>
      </c>
      <c r="AL91" s="18" t="s">
        <v>227</v>
      </c>
      <c r="AM91" s="18"/>
      <c r="AN91" s="18" t="s">
        <v>160</v>
      </c>
      <c r="AO91" s="18" t="s">
        <v>161</v>
      </c>
      <c r="AP91" s="18" t="s">
        <v>161</v>
      </c>
      <c r="AQ91" s="18" t="s">
        <v>362</v>
      </c>
      <c r="AR91" s="18">
        <v>15</v>
      </c>
      <c r="AS91" s="18">
        <v>24</v>
      </c>
      <c r="AT91" s="18">
        <v>3</v>
      </c>
      <c r="AU91" s="18">
        <v>35</v>
      </c>
      <c r="AV91" s="18">
        <v>900</v>
      </c>
      <c r="AW91" s="18">
        <v>1500</v>
      </c>
      <c r="AX91" s="18">
        <v>350</v>
      </c>
      <c r="AY91" s="18">
        <v>2000</v>
      </c>
      <c r="AZ91" s="18">
        <v>6</v>
      </c>
      <c r="BA91" s="18">
        <v>6.8</v>
      </c>
      <c r="BB91" s="18">
        <v>5.5</v>
      </c>
      <c r="BC91" s="18">
        <v>8.5</v>
      </c>
      <c r="BD91" s="18">
        <v>35</v>
      </c>
      <c r="BE91" s="18"/>
      <c r="BF91" s="18">
        <v>55</v>
      </c>
      <c r="BG91" s="18">
        <v>60</v>
      </c>
      <c r="BH91" s="18">
        <v>2000</v>
      </c>
      <c r="BI91" s="18" t="s">
        <v>165</v>
      </c>
      <c r="BJ91" s="18" t="s">
        <v>165</v>
      </c>
      <c r="BK91" s="18" t="s">
        <v>164</v>
      </c>
      <c r="BL91" s="18" t="s">
        <v>317</v>
      </c>
      <c r="BM91" s="18" t="s">
        <v>166</v>
      </c>
      <c r="BN91" s="18" t="s">
        <v>166</v>
      </c>
      <c r="BO91" s="18" t="s">
        <v>167</v>
      </c>
      <c r="BP91" s="18" t="s">
        <v>203</v>
      </c>
      <c r="BQ91" s="18" t="s">
        <v>169</v>
      </c>
      <c r="BR91" s="18" t="s">
        <v>170</v>
      </c>
      <c r="BS91" s="18"/>
      <c r="BT91" s="18"/>
      <c r="BU91" s="18" t="s">
        <v>171</v>
      </c>
      <c r="BV91" s="18" t="s">
        <v>171</v>
      </c>
      <c r="BW91" s="18" t="s">
        <v>172</v>
      </c>
      <c r="BX91" s="18" t="s">
        <v>172</v>
      </c>
      <c r="BY91" s="18">
        <v>-5</v>
      </c>
      <c r="BZ91" s="18">
        <v>-1</v>
      </c>
      <c r="CA91" s="18" t="s">
        <v>173</v>
      </c>
      <c r="CB91" s="18" t="s">
        <v>232</v>
      </c>
      <c r="CC91" s="18"/>
      <c r="CD91" s="18"/>
      <c r="CE91" s="18"/>
      <c r="CF91" s="18"/>
      <c r="CG91" s="18">
        <v>80</v>
      </c>
      <c r="CH91" s="18">
        <v>120</v>
      </c>
      <c r="CI91" s="19">
        <v>0.5</v>
      </c>
      <c r="CJ91" s="19">
        <v>1</v>
      </c>
      <c r="CK91" s="19">
        <v>0.4</v>
      </c>
      <c r="CL91" s="19">
        <v>0.7</v>
      </c>
      <c r="CM91" s="17" t="s">
        <v>363</v>
      </c>
      <c r="CN91" s="20">
        <v>5</v>
      </c>
      <c r="CO91" s="20">
        <v>20</v>
      </c>
      <c r="CP91" s="17" t="s">
        <v>364</v>
      </c>
      <c r="CQ91" s="17" t="s">
        <v>365</v>
      </c>
      <c r="CR91" s="21">
        <v>5</v>
      </c>
      <c r="CS91" s="21">
        <v>5</v>
      </c>
      <c r="CT91" s="21">
        <v>6</v>
      </c>
      <c r="CU91" s="21">
        <v>3</v>
      </c>
      <c r="CV91" s="21">
        <v>5</v>
      </c>
      <c r="CW91" s="21">
        <v>0</v>
      </c>
      <c r="CX91" s="21">
        <v>4</v>
      </c>
      <c r="CY91" s="21">
        <v>10</v>
      </c>
      <c r="CZ91" s="21">
        <v>8</v>
      </c>
      <c r="DA91" s="21">
        <v>140</v>
      </c>
      <c r="DB91" s="21">
        <v>130</v>
      </c>
      <c r="DC91" s="21">
        <v>200</v>
      </c>
      <c r="DD91" s="21">
        <v>25</v>
      </c>
      <c r="DE91" s="21">
        <v>40</v>
      </c>
      <c r="DF91" s="21">
        <v>0</v>
      </c>
      <c r="DG91" s="21">
        <v>40</v>
      </c>
      <c r="DH91" s="21">
        <v>300</v>
      </c>
      <c r="DI91" s="21">
        <v>120</v>
      </c>
      <c r="DJ91" s="17" t="s">
        <v>366</v>
      </c>
      <c r="DK91" s="17" t="s">
        <v>180</v>
      </c>
      <c r="DL91" s="22">
        <v>75</v>
      </c>
      <c r="DM91" s="17" t="s">
        <v>367</v>
      </c>
      <c r="DN91" s="23"/>
      <c r="DO91" s="23"/>
      <c r="DP91" s="23"/>
      <c r="DQ91" s="24" t="s">
        <v>182</v>
      </c>
      <c r="DR91" s="25" t="s">
        <v>183</v>
      </c>
      <c r="DS91" s="25" t="s">
        <v>183</v>
      </c>
      <c r="DT91" s="25" t="s">
        <v>183</v>
      </c>
      <c r="DU91" s="25" t="s">
        <v>183</v>
      </c>
      <c r="DV91" s="25" t="s">
        <v>183</v>
      </c>
      <c r="DW91" s="24" t="s">
        <v>182</v>
      </c>
      <c r="DX91" s="23"/>
      <c r="DY91" s="23"/>
      <c r="DZ91" s="17" t="s">
        <v>368</v>
      </c>
      <c r="EA91" s="17" t="s">
        <v>369</v>
      </c>
      <c r="EB91" s="43" t="s">
        <v>214</v>
      </c>
      <c r="EC91" s="17" t="s">
        <v>370</v>
      </c>
      <c r="ED91" s="27" t="s">
        <v>371</v>
      </c>
      <c r="EE91" s="22">
        <v>2</v>
      </c>
      <c r="EF91" s="54" t="s">
        <v>304</v>
      </c>
    </row>
    <row r="92" spans="1:136" ht="15" customHeight="1" x14ac:dyDescent="0.25">
      <c r="A92" s="16" t="s">
        <v>1215</v>
      </c>
      <c r="B92" s="17" t="s">
        <v>409</v>
      </c>
      <c r="C92" s="17" t="s">
        <v>1216</v>
      </c>
      <c r="D92" s="18">
        <v>78.599999999999994</v>
      </c>
      <c r="E92" s="18">
        <v>1.9</v>
      </c>
      <c r="F92" s="18">
        <v>0.2</v>
      </c>
      <c r="G92" s="18">
        <v>13.5</v>
      </c>
      <c r="H92" s="18">
        <v>6.4</v>
      </c>
      <c r="I92" s="18">
        <v>14</v>
      </c>
      <c r="J92" s="18">
        <v>0.5</v>
      </c>
      <c r="K92" s="18">
        <v>9</v>
      </c>
      <c r="L92" s="18">
        <v>36</v>
      </c>
      <c r="M92" s="18">
        <v>210</v>
      </c>
      <c r="N92" s="18">
        <v>4</v>
      </c>
      <c r="O92" s="18">
        <v>0.4</v>
      </c>
      <c r="P92" s="18"/>
      <c r="Q92" s="18"/>
      <c r="R92" s="18">
        <v>0.5</v>
      </c>
      <c r="S92" s="18">
        <v>11</v>
      </c>
      <c r="T92" s="18">
        <v>0.6</v>
      </c>
      <c r="U92" s="18">
        <v>14</v>
      </c>
      <c r="V92" s="18">
        <v>0.01</v>
      </c>
      <c r="W92" s="18">
        <v>0.02</v>
      </c>
      <c r="X92" s="18">
        <v>0.4</v>
      </c>
      <c r="Y92" s="18">
        <v>0.08</v>
      </c>
      <c r="Z92" s="18">
        <v>0</v>
      </c>
      <c r="AA92" s="18">
        <v>38</v>
      </c>
      <c r="AB92" s="18">
        <v>1829</v>
      </c>
      <c r="AC92" s="18" t="s">
        <v>1217</v>
      </c>
      <c r="AD92" s="18" t="s">
        <v>221</v>
      </c>
      <c r="AE92" s="18" t="s">
        <v>1218</v>
      </c>
      <c r="AF92" s="18"/>
      <c r="AG92" s="18" t="s">
        <v>1219</v>
      </c>
      <c r="AH92" s="18" t="s">
        <v>1220</v>
      </c>
      <c r="AI92" s="18" t="s">
        <v>155</v>
      </c>
      <c r="AJ92" s="18" t="s">
        <v>621</v>
      </c>
      <c r="AK92" s="18" t="s">
        <v>157</v>
      </c>
      <c r="AL92" s="18" t="s">
        <v>314</v>
      </c>
      <c r="AM92" s="18"/>
      <c r="AN92" s="18" t="s">
        <v>1221</v>
      </c>
      <c r="AO92" s="18" t="s">
        <v>484</v>
      </c>
      <c r="AP92" s="18" t="s">
        <v>419</v>
      </c>
      <c r="AQ92" s="18" t="s">
        <v>362</v>
      </c>
      <c r="AR92" s="18">
        <v>23</v>
      </c>
      <c r="AS92" s="18">
        <v>32</v>
      </c>
      <c r="AT92" s="18">
        <v>8</v>
      </c>
      <c r="AU92" s="18">
        <v>40</v>
      </c>
      <c r="AV92" s="18">
        <v>900</v>
      </c>
      <c r="AW92" s="18">
        <v>1200</v>
      </c>
      <c r="AX92" s="18">
        <v>400</v>
      </c>
      <c r="AY92" s="18">
        <v>4200</v>
      </c>
      <c r="AZ92" s="18">
        <v>6.5</v>
      </c>
      <c r="BA92" s="18">
        <v>7.5</v>
      </c>
      <c r="BB92" s="18">
        <v>5.8</v>
      </c>
      <c r="BC92" s="18">
        <v>8.5</v>
      </c>
      <c r="BD92" s="18">
        <v>10</v>
      </c>
      <c r="BE92" s="18"/>
      <c r="BF92" s="18">
        <v>30</v>
      </c>
      <c r="BG92" s="18">
        <v>40</v>
      </c>
      <c r="BH92" s="18">
        <v>1600</v>
      </c>
      <c r="BI92" s="18" t="s">
        <v>163</v>
      </c>
      <c r="BJ92" s="18" t="s">
        <v>163</v>
      </c>
      <c r="BK92" s="18" t="s">
        <v>163</v>
      </c>
      <c r="BL92" s="18" t="s">
        <v>164</v>
      </c>
      <c r="BM92" s="18" t="s">
        <v>288</v>
      </c>
      <c r="BN92" s="18" t="s">
        <v>166</v>
      </c>
      <c r="BO92" s="18" t="s">
        <v>168</v>
      </c>
      <c r="BP92" s="18" t="s">
        <v>203</v>
      </c>
      <c r="BQ92" s="18" t="s">
        <v>169</v>
      </c>
      <c r="BR92" s="18" t="s">
        <v>230</v>
      </c>
      <c r="BS92" s="18"/>
      <c r="BT92" s="18"/>
      <c r="BU92" s="18" t="s">
        <v>171</v>
      </c>
      <c r="BV92" s="18" t="s">
        <v>231</v>
      </c>
      <c r="BW92" s="18" t="s">
        <v>172</v>
      </c>
      <c r="BX92" s="18" t="s">
        <v>882</v>
      </c>
      <c r="BY92" s="18">
        <v>-10</v>
      </c>
      <c r="BZ92" s="18">
        <v>0</v>
      </c>
      <c r="CA92" s="18" t="s">
        <v>291</v>
      </c>
      <c r="CB92" s="18" t="s">
        <v>651</v>
      </c>
      <c r="CC92" s="18"/>
      <c r="CD92" s="18"/>
      <c r="CE92" s="18"/>
      <c r="CF92" s="18"/>
      <c r="CG92" s="18">
        <v>180</v>
      </c>
      <c r="CH92" s="18">
        <v>365</v>
      </c>
      <c r="CI92" s="32">
        <v>2</v>
      </c>
      <c r="CJ92" s="32">
        <v>7</v>
      </c>
      <c r="CK92" s="32">
        <v>2</v>
      </c>
      <c r="CL92" s="32">
        <v>5</v>
      </c>
      <c r="CM92" s="33" t="s">
        <v>806</v>
      </c>
      <c r="CN92" s="34">
        <v>5</v>
      </c>
      <c r="CO92" s="34">
        <v>30</v>
      </c>
      <c r="CP92" s="35" t="s">
        <v>1222</v>
      </c>
      <c r="CQ92" s="35" t="s">
        <v>209</v>
      </c>
      <c r="CR92" s="36">
        <v>0</v>
      </c>
      <c r="CS92" s="36">
        <v>0</v>
      </c>
      <c r="CT92" s="36">
        <v>6</v>
      </c>
      <c r="CU92" s="36">
        <v>3</v>
      </c>
      <c r="CV92" s="36">
        <v>5</v>
      </c>
      <c r="CW92" s="36">
        <v>15</v>
      </c>
      <c r="CX92" s="36">
        <v>5</v>
      </c>
      <c r="CY92" s="36">
        <v>25</v>
      </c>
      <c r="CZ92" s="36">
        <v>8</v>
      </c>
      <c r="DA92" s="37">
        <v>0</v>
      </c>
      <c r="DB92" s="37">
        <v>0</v>
      </c>
      <c r="DC92" s="37">
        <v>60</v>
      </c>
      <c r="DD92" s="37">
        <v>20</v>
      </c>
      <c r="DE92" s="37">
        <v>35</v>
      </c>
      <c r="DF92" s="37">
        <v>120</v>
      </c>
      <c r="DG92" s="37">
        <v>40</v>
      </c>
      <c r="DH92" s="37">
        <v>400</v>
      </c>
      <c r="DI92" s="37">
        <v>80</v>
      </c>
      <c r="DJ92" s="38" t="s">
        <v>1223</v>
      </c>
      <c r="DK92" s="39" t="s">
        <v>409</v>
      </c>
      <c r="DL92" s="40">
        <v>150</v>
      </c>
      <c r="DM92" s="39" t="s">
        <v>1224</v>
      </c>
      <c r="DN92" s="41"/>
      <c r="DO92" s="24" t="s">
        <v>182</v>
      </c>
      <c r="DP92" s="25" t="s">
        <v>183</v>
      </c>
      <c r="DQ92" s="25" t="s">
        <v>183</v>
      </c>
      <c r="DR92" s="25" t="s">
        <v>183</v>
      </c>
      <c r="DS92" s="24" t="s">
        <v>182</v>
      </c>
      <c r="DT92" s="41"/>
      <c r="DU92" s="41"/>
      <c r="DV92" s="41"/>
      <c r="DW92" s="41"/>
      <c r="DX92" s="41"/>
      <c r="DY92" s="41"/>
      <c r="DZ92" s="42" t="s">
        <v>1225</v>
      </c>
      <c r="EA92" s="42" t="s">
        <v>1226</v>
      </c>
      <c r="EB92" s="48" t="s">
        <v>239</v>
      </c>
      <c r="EC92" s="44" t="s">
        <v>1227</v>
      </c>
      <c r="ED92" s="45" t="s">
        <v>327</v>
      </c>
      <c r="EE92" s="46">
        <v>4</v>
      </c>
      <c r="EF92" s="50" t="s">
        <v>327</v>
      </c>
    </row>
    <row r="93" spans="1:136" ht="15" customHeight="1" x14ac:dyDescent="0.25">
      <c r="A93" s="16" t="s">
        <v>1404</v>
      </c>
      <c r="B93" s="17" t="s">
        <v>409</v>
      </c>
      <c r="C93" s="17" t="s">
        <v>1405</v>
      </c>
      <c r="D93" s="18">
        <v>32</v>
      </c>
      <c r="E93" s="18">
        <v>0.96</v>
      </c>
      <c r="F93" s="18">
        <v>5.84</v>
      </c>
      <c r="G93" s="18">
        <v>1.9</v>
      </c>
      <c r="H93" s="18">
        <v>1.02</v>
      </c>
      <c r="I93" s="18">
        <v>7</v>
      </c>
      <c r="J93" s="18">
        <v>0.62</v>
      </c>
      <c r="K93" s="18">
        <v>20</v>
      </c>
      <c r="L93" s="18">
        <v>39</v>
      </c>
      <c r="M93" s="18">
        <v>268</v>
      </c>
      <c r="N93" s="18">
        <v>1</v>
      </c>
      <c r="O93" s="18">
        <v>0.22</v>
      </c>
      <c r="P93" s="18">
        <v>7.9000000000000001E-2</v>
      </c>
      <c r="Q93" s="18">
        <v>0.153</v>
      </c>
      <c r="R93" s="18">
        <v>0.5</v>
      </c>
      <c r="S93" s="18">
        <v>114</v>
      </c>
      <c r="T93" s="18">
        <v>0.38</v>
      </c>
      <c r="U93" s="18">
        <v>11.7</v>
      </c>
      <c r="V93" s="18">
        <v>4.3999999999999997E-2</v>
      </c>
      <c r="W93" s="18">
        <v>3.5000000000000003E-2</v>
      </c>
      <c r="X93" s="18">
        <v>1.85</v>
      </c>
      <c r="Y93" s="18">
        <v>5.6000000000000001E-2</v>
      </c>
      <c r="Z93" s="18">
        <v>0</v>
      </c>
      <c r="AA93" s="18">
        <v>7</v>
      </c>
      <c r="AB93" s="18">
        <v>8556</v>
      </c>
      <c r="AC93" s="18" t="s">
        <v>1406</v>
      </c>
      <c r="AD93" s="18" t="s">
        <v>893</v>
      </c>
      <c r="AE93" s="18" t="s">
        <v>579</v>
      </c>
      <c r="AF93" s="18">
        <v>0</v>
      </c>
      <c r="AG93" s="18" t="s">
        <v>1407</v>
      </c>
      <c r="AH93" s="18" t="s">
        <v>1408</v>
      </c>
      <c r="AI93" s="18" t="s">
        <v>226</v>
      </c>
      <c r="AJ93" s="18" t="s">
        <v>156</v>
      </c>
      <c r="AK93" s="18" t="s">
        <v>157</v>
      </c>
      <c r="AL93" s="18" t="s">
        <v>282</v>
      </c>
      <c r="AM93" s="18" t="s">
        <v>159</v>
      </c>
      <c r="AN93" s="18" t="s">
        <v>978</v>
      </c>
      <c r="AO93" s="18" t="s">
        <v>1409</v>
      </c>
      <c r="AP93" s="18" t="s">
        <v>161</v>
      </c>
      <c r="AQ93" s="18" t="s">
        <v>485</v>
      </c>
      <c r="AR93" s="18">
        <v>15</v>
      </c>
      <c r="AS93" s="18">
        <v>25</v>
      </c>
      <c r="AT93" s="18">
        <v>8</v>
      </c>
      <c r="AU93" s="18">
        <v>31</v>
      </c>
      <c r="AV93" s="18">
        <v>700</v>
      </c>
      <c r="AW93" s="18">
        <v>1000</v>
      </c>
      <c r="AX93" s="18">
        <v>600</v>
      </c>
      <c r="AY93" s="18">
        <v>1100</v>
      </c>
      <c r="AZ93" s="18">
        <v>6</v>
      </c>
      <c r="BA93" s="18">
        <v>7</v>
      </c>
      <c r="BB93" s="18">
        <v>5</v>
      </c>
      <c r="BC93" s="18">
        <v>8</v>
      </c>
      <c r="BD93" s="18">
        <v>18</v>
      </c>
      <c r="BE93" s="18">
        <v>15</v>
      </c>
      <c r="BF93" s="18">
        <v>22</v>
      </c>
      <c r="BG93" s="18">
        <v>25</v>
      </c>
      <c r="BH93" s="18">
        <v>2600</v>
      </c>
      <c r="BI93" s="18" t="s">
        <v>163</v>
      </c>
      <c r="BJ93" s="18" t="s">
        <v>164</v>
      </c>
      <c r="BK93" s="18" t="s">
        <v>163</v>
      </c>
      <c r="BL93" s="18" t="s">
        <v>165</v>
      </c>
      <c r="BM93" s="18" t="s">
        <v>166</v>
      </c>
      <c r="BN93" s="18" t="s">
        <v>201</v>
      </c>
      <c r="BO93" s="51" t="s">
        <v>1410</v>
      </c>
      <c r="BP93" s="51" t="s">
        <v>229</v>
      </c>
      <c r="BQ93" s="51" t="s">
        <v>169</v>
      </c>
      <c r="BR93" s="51" t="s">
        <v>170</v>
      </c>
      <c r="BS93" s="51">
        <v>0</v>
      </c>
      <c r="BT93" s="51">
        <v>0</v>
      </c>
      <c r="BU93" s="51" t="s">
        <v>171</v>
      </c>
      <c r="BV93" s="51" t="s">
        <v>171</v>
      </c>
      <c r="BW93" s="51" t="s">
        <v>172</v>
      </c>
      <c r="BX93" s="51" t="s">
        <v>172</v>
      </c>
      <c r="BY93" s="51">
        <v>0</v>
      </c>
      <c r="BZ93" s="51">
        <v>0</v>
      </c>
      <c r="CA93" s="51" t="s">
        <v>291</v>
      </c>
      <c r="CB93" s="51" t="s">
        <v>342</v>
      </c>
      <c r="CC93" s="51">
        <v>0</v>
      </c>
      <c r="CD93" s="51">
        <v>0</v>
      </c>
      <c r="CE93" s="51">
        <v>0</v>
      </c>
      <c r="CF93" s="51" t="s">
        <v>175</v>
      </c>
      <c r="CG93" s="51">
        <v>80</v>
      </c>
      <c r="CH93" s="51">
        <v>120</v>
      </c>
      <c r="CI93" s="32">
        <v>0.6</v>
      </c>
      <c r="CJ93" s="32">
        <v>1.5</v>
      </c>
      <c r="CK93" s="32">
        <v>0.5</v>
      </c>
      <c r="CL93" s="32">
        <v>1</v>
      </c>
      <c r="CM93" s="33" t="s">
        <v>294</v>
      </c>
      <c r="CN93" s="34">
        <v>10</v>
      </c>
      <c r="CO93" s="34">
        <v>40</v>
      </c>
      <c r="CP93" s="35" t="s">
        <v>1411</v>
      </c>
      <c r="CQ93" s="35" t="s">
        <v>1412</v>
      </c>
      <c r="CR93" s="36">
        <v>5</v>
      </c>
      <c r="CS93" s="36">
        <v>6</v>
      </c>
      <c r="CT93" s="36">
        <v>6</v>
      </c>
      <c r="CU93" s="36">
        <v>3</v>
      </c>
      <c r="CV93" s="36">
        <v>4</v>
      </c>
      <c r="CW93" s="36">
        <v>3</v>
      </c>
      <c r="CX93" s="36">
        <v>4</v>
      </c>
      <c r="CY93" s="36">
        <v>15</v>
      </c>
      <c r="CZ93" s="36">
        <v>5</v>
      </c>
      <c r="DA93" s="37">
        <v>130</v>
      </c>
      <c r="DB93" s="37">
        <v>150</v>
      </c>
      <c r="DC93" s="37">
        <v>200</v>
      </c>
      <c r="DD93" s="37">
        <v>25</v>
      </c>
      <c r="DE93" s="37">
        <v>35</v>
      </c>
      <c r="DF93" s="37">
        <v>30</v>
      </c>
      <c r="DG93" s="37">
        <v>40</v>
      </c>
      <c r="DH93" s="37">
        <v>350</v>
      </c>
      <c r="DI93" s="37">
        <v>80</v>
      </c>
      <c r="DJ93" s="38" t="s">
        <v>1413</v>
      </c>
      <c r="DK93" s="39" t="s">
        <v>180</v>
      </c>
      <c r="DL93" s="40">
        <v>75</v>
      </c>
      <c r="DM93" s="39" t="s">
        <v>1414</v>
      </c>
      <c r="DN93" s="25" t="s">
        <v>183</v>
      </c>
      <c r="DO93" s="25" t="s">
        <v>183</v>
      </c>
      <c r="DP93" s="25" t="s">
        <v>183</v>
      </c>
      <c r="DQ93" s="24" t="s">
        <v>182</v>
      </c>
      <c r="DR93" s="41"/>
      <c r="DS93" s="41"/>
      <c r="DT93" s="41"/>
      <c r="DU93" s="41"/>
      <c r="DV93" s="41"/>
      <c r="DW93" s="41"/>
      <c r="DX93" s="24" t="s">
        <v>182</v>
      </c>
      <c r="DY93" s="25" t="s">
        <v>183</v>
      </c>
      <c r="DZ93" s="42" t="s">
        <v>1415</v>
      </c>
      <c r="EA93" s="42" t="s">
        <v>1416</v>
      </c>
      <c r="EB93" s="26" t="s">
        <v>186</v>
      </c>
      <c r="EC93" s="44" t="s">
        <v>1417</v>
      </c>
      <c r="ED93" s="45" t="s">
        <v>274</v>
      </c>
      <c r="EE93" s="46">
        <v>4</v>
      </c>
      <c r="EF93" s="53" t="s">
        <v>275</v>
      </c>
    </row>
    <row r="94" spans="1:136" ht="15" customHeight="1" x14ac:dyDescent="0.25">
      <c r="A94" s="16" t="s">
        <v>1805</v>
      </c>
      <c r="B94" s="29" t="s">
        <v>1700</v>
      </c>
      <c r="C94" s="29" t="s">
        <v>1806</v>
      </c>
      <c r="D94" s="30">
        <v>17.2</v>
      </c>
      <c r="E94" s="30">
        <v>1.2</v>
      </c>
      <c r="F94" s="30">
        <v>0.2</v>
      </c>
      <c r="G94" s="30">
        <v>1.8</v>
      </c>
      <c r="H94" s="30">
        <v>1.8</v>
      </c>
      <c r="I94" s="30">
        <v>21</v>
      </c>
      <c r="J94" s="30">
        <v>0.68</v>
      </c>
      <c r="K94" s="30">
        <v>12</v>
      </c>
      <c r="L94" s="30">
        <v>30</v>
      </c>
      <c r="M94" s="30">
        <v>235</v>
      </c>
      <c r="N94" s="30">
        <v>16</v>
      </c>
      <c r="O94" s="30">
        <v>0.28000000000000003</v>
      </c>
      <c r="P94" s="30">
        <v>6.0999999999999999E-2</v>
      </c>
      <c r="Q94" s="30">
        <v>0.23499999999999999</v>
      </c>
      <c r="R94" s="30">
        <v>0.5</v>
      </c>
      <c r="S94" s="30">
        <v>7</v>
      </c>
      <c r="T94" s="30">
        <v>0.1</v>
      </c>
      <c r="U94" s="30">
        <v>9</v>
      </c>
      <c r="V94" s="30">
        <v>0.04</v>
      </c>
      <c r="W94" s="30">
        <v>0.05</v>
      </c>
      <c r="X94" s="30">
        <v>0.25</v>
      </c>
      <c r="Y94" s="30">
        <v>0.05</v>
      </c>
      <c r="Z94" s="30">
        <v>0</v>
      </c>
      <c r="AA94" s="30">
        <v>21</v>
      </c>
      <c r="AB94" s="31">
        <v>1313</v>
      </c>
      <c r="AC94" s="31" t="s">
        <v>1807</v>
      </c>
      <c r="AD94" s="31" t="s">
        <v>221</v>
      </c>
      <c r="AE94" s="31" t="s">
        <v>397</v>
      </c>
      <c r="AF94" s="31" t="s">
        <v>1808</v>
      </c>
      <c r="AG94" s="31" t="s">
        <v>1809</v>
      </c>
      <c r="AH94" s="31" t="s">
        <v>1810</v>
      </c>
      <c r="AI94" s="31" t="s">
        <v>155</v>
      </c>
      <c r="AJ94" s="31" t="s">
        <v>156</v>
      </c>
      <c r="AK94" s="31" t="s">
        <v>1357</v>
      </c>
      <c r="AL94" s="31" t="s">
        <v>158</v>
      </c>
      <c r="AM94" s="31" t="s">
        <v>159</v>
      </c>
      <c r="AN94" s="31" t="s">
        <v>160</v>
      </c>
      <c r="AO94" s="31" t="s">
        <v>161</v>
      </c>
      <c r="AP94" s="31" t="s">
        <v>161</v>
      </c>
      <c r="AQ94" s="31" t="s">
        <v>162</v>
      </c>
      <c r="AR94" s="31">
        <v>12</v>
      </c>
      <c r="AS94" s="31">
        <v>21</v>
      </c>
      <c r="AT94" s="31">
        <v>5</v>
      </c>
      <c r="AU94" s="31">
        <v>30</v>
      </c>
      <c r="AV94" s="31">
        <v>1100</v>
      </c>
      <c r="AW94" s="31">
        <v>1400</v>
      </c>
      <c r="AX94" s="31">
        <v>900</v>
      </c>
      <c r="AY94" s="31">
        <v>4100</v>
      </c>
      <c r="AZ94" s="31">
        <v>6</v>
      </c>
      <c r="BA94" s="31">
        <v>7</v>
      </c>
      <c r="BB94" s="31">
        <v>4.2</v>
      </c>
      <c r="BC94" s="31">
        <v>7.5</v>
      </c>
      <c r="BD94" s="31"/>
      <c r="BE94" s="31"/>
      <c r="BF94" s="31">
        <v>60</v>
      </c>
      <c r="BG94" s="31">
        <v>60</v>
      </c>
      <c r="BH94" s="31">
        <v>3000</v>
      </c>
      <c r="BI94" s="31" t="s">
        <v>164</v>
      </c>
      <c r="BJ94" s="31" t="s">
        <v>164</v>
      </c>
      <c r="BK94" s="31" t="s">
        <v>163</v>
      </c>
      <c r="BL94" s="31" t="s">
        <v>165</v>
      </c>
      <c r="BM94" s="31" t="s">
        <v>201</v>
      </c>
      <c r="BN94" s="31"/>
      <c r="BO94" s="31" t="s">
        <v>250</v>
      </c>
      <c r="BP94" s="31" t="s">
        <v>203</v>
      </c>
      <c r="BQ94" s="31" t="s">
        <v>170</v>
      </c>
      <c r="BR94" s="31" t="s">
        <v>230</v>
      </c>
      <c r="BS94" s="31"/>
      <c r="BT94" s="31"/>
      <c r="BU94" s="31" t="s">
        <v>171</v>
      </c>
      <c r="BV94" s="31" t="s">
        <v>171</v>
      </c>
      <c r="BW94" s="31" t="s">
        <v>172</v>
      </c>
      <c r="BX94" s="31" t="s">
        <v>172</v>
      </c>
      <c r="BY94" s="31">
        <v>-1</v>
      </c>
      <c r="BZ94" s="31">
        <v>0</v>
      </c>
      <c r="CA94" s="31" t="s">
        <v>508</v>
      </c>
      <c r="CB94" s="31" t="s">
        <v>251</v>
      </c>
      <c r="CC94" s="31"/>
      <c r="CD94" s="31"/>
      <c r="CE94" s="31"/>
      <c r="CF94" s="31"/>
      <c r="CG94" s="31">
        <v>35</v>
      </c>
      <c r="CH94" s="31">
        <v>85</v>
      </c>
      <c r="CI94" s="32">
        <v>0.2</v>
      </c>
      <c r="CJ94" s="32">
        <v>0.4</v>
      </c>
      <c r="CK94" s="32">
        <v>0.2</v>
      </c>
      <c r="CL94" s="32">
        <v>0.4</v>
      </c>
      <c r="CM94" s="33" t="s">
        <v>1811</v>
      </c>
      <c r="CN94" s="34">
        <v>10</v>
      </c>
      <c r="CO94" s="34">
        <v>40</v>
      </c>
      <c r="CP94" s="35" t="s">
        <v>1812</v>
      </c>
      <c r="CQ94" s="35" t="s">
        <v>209</v>
      </c>
      <c r="CR94" s="36">
        <v>5</v>
      </c>
      <c r="CS94" s="36">
        <v>5</v>
      </c>
      <c r="CT94" s="36">
        <v>6</v>
      </c>
      <c r="CU94" s="36">
        <v>3</v>
      </c>
      <c r="CV94" s="36">
        <v>4</v>
      </c>
      <c r="CW94" s="36">
        <v>0</v>
      </c>
      <c r="CX94" s="36">
        <v>5</v>
      </c>
      <c r="CY94" s="36">
        <v>12</v>
      </c>
      <c r="CZ94" s="36">
        <v>8</v>
      </c>
      <c r="DA94" s="37">
        <v>130</v>
      </c>
      <c r="DB94" s="37">
        <v>130</v>
      </c>
      <c r="DC94" s="37">
        <v>200</v>
      </c>
      <c r="DD94" s="37">
        <v>25</v>
      </c>
      <c r="DE94" s="37">
        <v>35</v>
      </c>
      <c r="DF94" s="37">
        <v>0</v>
      </c>
      <c r="DG94" s="37">
        <v>50</v>
      </c>
      <c r="DH94" s="37">
        <v>320</v>
      </c>
      <c r="DI94" s="37">
        <v>120</v>
      </c>
      <c r="DJ94" s="38" t="s">
        <v>1161</v>
      </c>
      <c r="DK94" s="39" t="s">
        <v>180</v>
      </c>
      <c r="DL94" s="40">
        <v>75</v>
      </c>
      <c r="DM94" s="39" t="s">
        <v>1813</v>
      </c>
      <c r="DN94" s="41"/>
      <c r="DO94" s="24" t="s">
        <v>182</v>
      </c>
      <c r="DP94" s="25" t="s">
        <v>183</v>
      </c>
      <c r="DQ94" s="25" t="s">
        <v>183</v>
      </c>
      <c r="DR94" s="25" t="s">
        <v>183</v>
      </c>
      <c r="DS94" s="24" t="s">
        <v>182</v>
      </c>
      <c r="DT94" s="41"/>
      <c r="DU94" s="24" t="s">
        <v>182</v>
      </c>
      <c r="DV94" s="25" t="s">
        <v>183</v>
      </c>
      <c r="DW94" s="25" t="s">
        <v>183</v>
      </c>
      <c r="DX94" s="25" t="s">
        <v>183</v>
      </c>
      <c r="DY94" s="24" t="s">
        <v>182</v>
      </c>
      <c r="DZ94" s="42" t="s">
        <v>1814</v>
      </c>
      <c r="EA94" s="42" t="s">
        <v>1783</v>
      </c>
      <c r="EB94" s="58" t="s">
        <v>1815</v>
      </c>
      <c r="EC94" s="44" t="s">
        <v>1816</v>
      </c>
      <c r="ED94" s="45" t="s">
        <v>475</v>
      </c>
      <c r="EE94" s="46">
        <v>0</v>
      </c>
      <c r="EF94" s="47" t="s">
        <v>304</v>
      </c>
    </row>
    <row r="95" spans="1:136" ht="15" customHeight="1" x14ac:dyDescent="0.25">
      <c r="A95" s="16" t="s">
        <v>1168</v>
      </c>
      <c r="B95" s="29" t="s">
        <v>409</v>
      </c>
      <c r="C95" s="29" t="s">
        <v>1169</v>
      </c>
      <c r="D95" s="30">
        <v>49.2</v>
      </c>
      <c r="E95" s="30">
        <v>0.2</v>
      </c>
      <c r="F95" s="30">
        <v>0</v>
      </c>
      <c r="G95" s="30">
        <v>9.6</v>
      </c>
      <c r="H95" s="30">
        <v>2.1</v>
      </c>
      <c r="I95" s="30">
        <v>4</v>
      </c>
      <c r="J95" s="30">
        <v>0</v>
      </c>
      <c r="K95" s="30">
        <v>8</v>
      </c>
      <c r="L95" s="30">
        <v>14</v>
      </c>
      <c r="M95" s="30">
        <v>145</v>
      </c>
      <c r="N95" s="30">
        <v>3</v>
      </c>
      <c r="O95" s="30">
        <v>0.11</v>
      </c>
      <c r="P95" s="30">
        <v>0.08</v>
      </c>
      <c r="Q95" s="30">
        <v>4.1000000000000002E-2</v>
      </c>
      <c r="R95" s="30">
        <v>0.5</v>
      </c>
      <c r="S95" s="30">
        <v>0</v>
      </c>
      <c r="T95" s="30">
        <v>0</v>
      </c>
      <c r="U95" s="30">
        <v>1</v>
      </c>
      <c r="V95" s="30">
        <v>0.01</v>
      </c>
      <c r="W95" s="30">
        <v>0.02</v>
      </c>
      <c r="X95" s="30">
        <v>0</v>
      </c>
      <c r="Y95" s="30">
        <v>0.02</v>
      </c>
      <c r="Z95" s="30">
        <v>0</v>
      </c>
      <c r="AA95" s="30">
        <v>0</v>
      </c>
      <c r="AB95" s="31">
        <v>1832</v>
      </c>
      <c r="AC95" s="31" t="s">
        <v>1157</v>
      </c>
      <c r="AD95" s="31" t="s">
        <v>221</v>
      </c>
      <c r="AE95" s="31" t="s">
        <v>413</v>
      </c>
      <c r="AF95" s="31"/>
      <c r="AG95" s="31" t="s">
        <v>1158</v>
      </c>
      <c r="AH95" s="31" t="s">
        <v>1159</v>
      </c>
      <c r="AI95" s="31" t="s">
        <v>226</v>
      </c>
      <c r="AJ95" s="31" t="s">
        <v>337</v>
      </c>
      <c r="AK95" s="31" t="s">
        <v>157</v>
      </c>
      <c r="AL95" s="31" t="s">
        <v>314</v>
      </c>
      <c r="AM95" s="31"/>
      <c r="AN95" s="31" t="s">
        <v>417</v>
      </c>
      <c r="AO95" s="31" t="s">
        <v>451</v>
      </c>
      <c r="AP95" s="31" t="s">
        <v>419</v>
      </c>
      <c r="AQ95" s="31" t="s">
        <v>162</v>
      </c>
      <c r="AR95" s="31">
        <v>20</v>
      </c>
      <c r="AS95" s="31">
        <v>35</v>
      </c>
      <c r="AT95" s="31">
        <v>10</v>
      </c>
      <c r="AU95" s="31">
        <v>37</v>
      </c>
      <c r="AV95" s="31">
        <v>600</v>
      </c>
      <c r="AW95" s="31">
        <v>900</v>
      </c>
      <c r="AX95" s="31">
        <v>400</v>
      </c>
      <c r="AY95" s="31">
        <v>2100</v>
      </c>
      <c r="AZ95" s="31">
        <v>5.5</v>
      </c>
      <c r="BA95" s="31">
        <v>6.5</v>
      </c>
      <c r="BB95" s="31">
        <v>4.5</v>
      </c>
      <c r="BC95" s="31">
        <v>8.3000000000000007</v>
      </c>
      <c r="BD95" s="31">
        <v>35</v>
      </c>
      <c r="BE95" s="31"/>
      <c r="BF95" s="31">
        <v>55</v>
      </c>
      <c r="BG95" s="31">
        <v>60</v>
      </c>
      <c r="BH95" s="31">
        <v>2000</v>
      </c>
      <c r="BI95" s="31" t="s">
        <v>163</v>
      </c>
      <c r="BJ95" s="31" t="s">
        <v>163</v>
      </c>
      <c r="BK95" s="31" t="s">
        <v>163</v>
      </c>
      <c r="BL95" s="31" t="s">
        <v>164</v>
      </c>
      <c r="BM95" s="31" t="s">
        <v>166</v>
      </c>
      <c r="BN95" s="31" t="s">
        <v>201</v>
      </c>
      <c r="BO95" s="31" t="s">
        <v>168</v>
      </c>
      <c r="BP95" s="31" t="s">
        <v>203</v>
      </c>
      <c r="BQ95" s="31" t="s">
        <v>170</v>
      </c>
      <c r="BR95" s="31" t="s">
        <v>170</v>
      </c>
      <c r="BS95" s="31"/>
      <c r="BT95" s="31"/>
      <c r="BU95" s="31" t="s">
        <v>171</v>
      </c>
      <c r="BV95" s="31" t="s">
        <v>171</v>
      </c>
      <c r="BW95" s="31" t="s">
        <v>172</v>
      </c>
      <c r="BX95" s="31" t="s">
        <v>172</v>
      </c>
      <c r="BY95" s="31">
        <v>-34</v>
      </c>
      <c r="BZ95" s="31">
        <v>-9</v>
      </c>
      <c r="CA95" s="31" t="s">
        <v>173</v>
      </c>
      <c r="CB95" s="31" t="s">
        <v>688</v>
      </c>
      <c r="CC95" s="31"/>
      <c r="CD95" s="31" t="s">
        <v>964</v>
      </c>
      <c r="CE95" s="31"/>
      <c r="CF95" s="31"/>
      <c r="CG95" s="31">
        <v>180</v>
      </c>
      <c r="CH95" s="31">
        <v>270</v>
      </c>
      <c r="CI95" s="32">
        <v>4</v>
      </c>
      <c r="CJ95" s="32">
        <v>8</v>
      </c>
      <c r="CK95" s="32">
        <v>4</v>
      </c>
      <c r="CL95" s="32">
        <v>7</v>
      </c>
      <c r="CM95" s="33" t="s">
        <v>868</v>
      </c>
      <c r="CN95" s="34">
        <v>5</v>
      </c>
      <c r="CO95" s="34">
        <v>35</v>
      </c>
      <c r="CP95" s="35" t="s">
        <v>1170</v>
      </c>
      <c r="CQ95" s="35" t="s">
        <v>209</v>
      </c>
      <c r="CR95" s="36">
        <v>0</v>
      </c>
      <c r="CS95" s="36">
        <v>0</v>
      </c>
      <c r="CT95" s="36">
        <v>6</v>
      </c>
      <c r="CU95" s="36">
        <v>3</v>
      </c>
      <c r="CV95" s="36">
        <v>8</v>
      </c>
      <c r="CW95" s="36">
        <v>20</v>
      </c>
      <c r="CX95" s="36">
        <v>5</v>
      </c>
      <c r="CY95" s="36">
        <v>30</v>
      </c>
      <c r="CZ95" s="36">
        <v>8</v>
      </c>
      <c r="DA95" s="37">
        <v>0</v>
      </c>
      <c r="DB95" s="37">
        <v>0</v>
      </c>
      <c r="DC95" s="37">
        <v>60</v>
      </c>
      <c r="DD95" s="37">
        <v>20</v>
      </c>
      <c r="DE95" s="37">
        <v>50</v>
      </c>
      <c r="DF95" s="37">
        <v>150</v>
      </c>
      <c r="DG95" s="37">
        <v>30</v>
      </c>
      <c r="DH95" s="37">
        <v>450</v>
      </c>
      <c r="DI95" s="37">
        <v>80</v>
      </c>
      <c r="DJ95" s="38" t="s">
        <v>1171</v>
      </c>
      <c r="DK95" s="39" t="s">
        <v>409</v>
      </c>
      <c r="DL95" s="40">
        <v>150</v>
      </c>
      <c r="DM95" s="39" t="s">
        <v>1172</v>
      </c>
      <c r="DN95" s="24" t="s">
        <v>182</v>
      </c>
      <c r="DO95" s="25" t="s">
        <v>183</v>
      </c>
      <c r="DP95" s="25" t="s">
        <v>183</v>
      </c>
      <c r="DQ95" s="24" t="s">
        <v>182</v>
      </c>
      <c r="DR95" s="41"/>
      <c r="DS95" s="41"/>
      <c r="DT95" s="41"/>
      <c r="DU95" s="41"/>
      <c r="DV95" s="41"/>
      <c r="DW95" s="41"/>
      <c r="DX95" s="41"/>
      <c r="DY95" s="41"/>
      <c r="DZ95" s="42" t="s">
        <v>1173</v>
      </c>
      <c r="EA95" s="42" t="s">
        <v>1174</v>
      </c>
      <c r="EB95" s="26" t="s">
        <v>186</v>
      </c>
      <c r="EC95" s="44" t="s">
        <v>1175</v>
      </c>
      <c r="ED95" s="45" t="s">
        <v>327</v>
      </c>
      <c r="EE95" s="46">
        <v>2</v>
      </c>
      <c r="EF95" s="50" t="s">
        <v>328</v>
      </c>
    </row>
    <row r="96" spans="1:136" ht="15" customHeight="1" x14ac:dyDescent="0.25">
      <c r="A96" s="16" t="s">
        <v>1069</v>
      </c>
      <c r="B96" s="17" t="s">
        <v>409</v>
      </c>
      <c r="C96" s="17" t="s">
        <v>1070</v>
      </c>
      <c r="D96" s="18">
        <v>25</v>
      </c>
      <c r="E96" s="18">
        <v>0.44</v>
      </c>
      <c r="F96" s="18">
        <v>5.9</v>
      </c>
      <c r="G96" s="18">
        <v>1.1000000000000001</v>
      </c>
      <c r="H96" s="18">
        <v>0.22</v>
      </c>
      <c r="I96" s="18">
        <v>8</v>
      </c>
      <c r="J96" s="18">
        <v>0.35</v>
      </c>
      <c r="K96" s="18">
        <v>11</v>
      </c>
      <c r="L96" s="18">
        <v>12</v>
      </c>
      <c r="M96" s="18">
        <v>200</v>
      </c>
      <c r="N96" s="18">
        <v>4</v>
      </c>
      <c r="O96" s="18">
        <v>0.1</v>
      </c>
      <c r="P96" s="18">
        <v>2.8000000000000001E-2</v>
      </c>
      <c r="Q96" s="18">
        <v>6.7000000000000004E-2</v>
      </c>
      <c r="R96" s="18">
        <v>0.4</v>
      </c>
      <c r="S96" s="18">
        <v>568</v>
      </c>
      <c r="T96" s="18">
        <v>0.75</v>
      </c>
      <c r="U96" s="18">
        <v>3.2</v>
      </c>
      <c r="V96" s="18">
        <v>4.4999999999999998E-2</v>
      </c>
      <c r="W96" s="18">
        <v>0</v>
      </c>
      <c r="X96" s="18">
        <v>1.45</v>
      </c>
      <c r="Y96" s="18">
        <v>0.107</v>
      </c>
      <c r="Z96" s="18">
        <v>0</v>
      </c>
      <c r="AA96" s="18">
        <v>3</v>
      </c>
      <c r="AB96" s="18">
        <v>1968</v>
      </c>
      <c r="AC96" s="18" t="s">
        <v>1071</v>
      </c>
      <c r="AD96" s="18" t="s">
        <v>1072</v>
      </c>
      <c r="AE96" s="18" t="s">
        <v>579</v>
      </c>
      <c r="AF96" s="18" t="s">
        <v>1073</v>
      </c>
      <c r="AG96" s="18" t="s">
        <v>1074</v>
      </c>
      <c r="AH96" s="18" t="s">
        <v>1075</v>
      </c>
      <c r="AI96" s="18" t="s">
        <v>226</v>
      </c>
      <c r="AJ96" s="18" t="s">
        <v>482</v>
      </c>
      <c r="AK96" s="18" t="s">
        <v>157</v>
      </c>
      <c r="AL96" s="18" t="s">
        <v>314</v>
      </c>
      <c r="AM96" s="18">
        <v>0</v>
      </c>
      <c r="AN96" s="18" t="s">
        <v>978</v>
      </c>
      <c r="AO96" s="18" t="s">
        <v>1076</v>
      </c>
      <c r="AP96" s="18" t="s">
        <v>419</v>
      </c>
      <c r="AQ96" s="18" t="s">
        <v>362</v>
      </c>
      <c r="AR96" s="18">
        <v>15</v>
      </c>
      <c r="AS96" s="18">
        <v>25</v>
      </c>
      <c r="AT96" s="18">
        <v>10</v>
      </c>
      <c r="AU96" s="18">
        <v>30</v>
      </c>
      <c r="AV96" s="18">
        <v>1500</v>
      </c>
      <c r="AW96" s="18">
        <v>3000</v>
      </c>
      <c r="AX96" s="18">
        <v>700</v>
      </c>
      <c r="AY96" s="18">
        <v>3750</v>
      </c>
      <c r="AZ96" s="18">
        <v>6.5</v>
      </c>
      <c r="BA96" s="18">
        <v>7</v>
      </c>
      <c r="BB96" s="18">
        <v>5.8</v>
      </c>
      <c r="BC96" s="18">
        <v>8</v>
      </c>
      <c r="BD96" s="18">
        <v>0</v>
      </c>
      <c r="BE96" s="18">
        <v>0</v>
      </c>
      <c r="BF96" s="18">
        <v>0</v>
      </c>
      <c r="BG96" s="18">
        <v>0</v>
      </c>
      <c r="BH96" s="18">
        <v>2500</v>
      </c>
      <c r="BI96" s="18" t="s">
        <v>164</v>
      </c>
      <c r="BJ96" s="18" t="s">
        <v>165</v>
      </c>
      <c r="BK96" s="18" t="s">
        <v>163</v>
      </c>
      <c r="BL96" s="18" t="s">
        <v>317</v>
      </c>
      <c r="BM96" s="18" t="s">
        <v>166</v>
      </c>
      <c r="BN96" s="18" t="s">
        <v>201</v>
      </c>
      <c r="BO96" s="51" t="s">
        <v>567</v>
      </c>
      <c r="BP96" s="51" t="s">
        <v>203</v>
      </c>
      <c r="BQ96" s="51" t="s">
        <v>169</v>
      </c>
      <c r="BR96" s="51" t="s">
        <v>170</v>
      </c>
      <c r="BS96" s="51">
        <v>0</v>
      </c>
      <c r="BT96" s="51">
        <v>0</v>
      </c>
      <c r="BU96" s="51" t="s">
        <v>171</v>
      </c>
      <c r="BV96" s="51" t="s">
        <v>171</v>
      </c>
      <c r="BW96" s="51" t="s">
        <v>172</v>
      </c>
      <c r="BX96" s="51" t="s">
        <v>172</v>
      </c>
      <c r="BY96" s="51">
        <v>0</v>
      </c>
      <c r="BZ96" s="51">
        <v>0</v>
      </c>
      <c r="CA96" s="51" t="s">
        <v>508</v>
      </c>
      <c r="CB96" s="51" t="s">
        <v>319</v>
      </c>
      <c r="CC96" s="51">
        <v>0</v>
      </c>
      <c r="CD96" s="51">
        <v>0</v>
      </c>
      <c r="CE96" s="51">
        <v>0</v>
      </c>
      <c r="CF96" s="51" t="s">
        <v>175</v>
      </c>
      <c r="CG96" s="51">
        <v>180</v>
      </c>
      <c r="CH96" s="51">
        <v>365</v>
      </c>
      <c r="CI96" s="32">
        <v>1.5</v>
      </c>
      <c r="CJ96" s="32">
        <v>3</v>
      </c>
      <c r="CK96" s="32">
        <v>1.5</v>
      </c>
      <c r="CL96" s="32">
        <v>2.5</v>
      </c>
      <c r="CM96" s="33" t="s">
        <v>525</v>
      </c>
      <c r="CN96" s="34">
        <v>5</v>
      </c>
      <c r="CO96" s="34">
        <v>20</v>
      </c>
      <c r="CP96" s="35" t="s">
        <v>1077</v>
      </c>
      <c r="CQ96" s="35" t="s">
        <v>296</v>
      </c>
      <c r="CR96" s="36">
        <v>0</v>
      </c>
      <c r="CS96" s="36">
        <v>0</v>
      </c>
      <c r="CT96" s="36">
        <v>6</v>
      </c>
      <c r="CU96" s="36">
        <v>3</v>
      </c>
      <c r="CV96" s="36">
        <v>6</v>
      </c>
      <c r="CW96" s="36">
        <v>8</v>
      </c>
      <c r="CX96" s="36">
        <v>4</v>
      </c>
      <c r="CY96" s="36">
        <v>15</v>
      </c>
      <c r="CZ96" s="36">
        <v>5</v>
      </c>
      <c r="DA96" s="37">
        <v>0</v>
      </c>
      <c r="DB96" s="37">
        <v>0</v>
      </c>
      <c r="DC96" s="37">
        <v>50</v>
      </c>
      <c r="DD96" s="37">
        <v>20</v>
      </c>
      <c r="DE96" s="37">
        <v>40</v>
      </c>
      <c r="DF96" s="37">
        <v>60</v>
      </c>
      <c r="DG96" s="37">
        <v>30</v>
      </c>
      <c r="DH96" s="37">
        <v>300</v>
      </c>
      <c r="DI96" s="37">
        <v>60</v>
      </c>
      <c r="DJ96" s="38" t="s">
        <v>1078</v>
      </c>
      <c r="DK96" s="39" t="s">
        <v>409</v>
      </c>
      <c r="DL96" s="40">
        <v>150</v>
      </c>
      <c r="DM96" s="39" t="s">
        <v>1079</v>
      </c>
      <c r="DN96" s="41"/>
      <c r="DO96" s="24" t="s">
        <v>182</v>
      </c>
      <c r="DP96" s="25" t="s">
        <v>183</v>
      </c>
      <c r="DQ96" s="25" t="s">
        <v>183</v>
      </c>
      <c r="DR96" s="25" t="s">
        <v>183</v>
      </c>
      <c r="DS96" s="24" t="s">
        <v>182</v>
      </c>
      <c r="DT96" s="41"/>
      <c r="DU96" s="41"/>
      <c r="DV96" s="41"/>
      <c r="DW96" s="41"/>
      <c r="DX96" s="41"/>
      <c r="DY96" s="41"/>
      <c r="DZ96" s="42" t="s">
        <v>1080</v>
      </c>
      <c r="EA96" s="42" t="s">
        <v>1081</v>
      </c>
      <c r="EB96" s="43" t="s">
        <v>214</v>
      </c>
      <c r="EC96" s="44" t="s">
        <v>1082</v>
      </c>
      <c r="ED96" s="45" t="s">
        <v>216</v>
      </c>
      <c r="EE96" s="46">
        <v>3</v>
      </c>
      <c r="EF96" s="47" t="s">
        <v>304</v>
      </c>
    </row>
    <row r="97" spans="1:136" ht="15" customHeight="1" x14ac:dyDescent="0.25">
      <c r="A97" s="16" t="s">
        <v>1418</v>
      </c>
      <c r="B97" s="29" t="s">
        <v>409</v>
      </c>
      <c r="C97" s="29" t="s">
        <v>1419</v>
      </c>
      <c r="D97" s="30">
        <v>17.399999999999999</v>
      </c>
      <c r="E97" s="30">
        <v>0.6</v>
      </c>
      <c r="F97" s="30">
        <v>0</v>
      </c>
      <c r="G97" s="30">
        <v>3</v>
      </c>
      <c r="H97" s="30">
        <v>1.1000000000000001</v>
      </c>
      <c r="I97" s="30">
        <v>11</v>
      </c>
      <c r="J97" s="30">
        <v>0.23</v>
      </c>
      <c r="K97" s="30">
        <v>10</v>
      </c>
      <c r="L97" s="30">
        <v>21</v>
      </c>
      <c r="M97" s="30">
        <v>210</v>
      </c>
      <c r="N97" s="30">
        <v>4</v>
      </c>
      <c r="O97" s="30">
        <v>0.12</v>
      </c>
      <c r="P97" s="30">
        <v>4.9000000000000002E-2</v>
      </c>
      <c r="Q97" s="30">
        <v>8.7999999999999995E-2</v>
      </c>
      <c r="R97" s="30">
        <v>0.4</v>
      </c>
      <c r="S97" s="30">
        <v>34</v>
      </c>
      <c r="T97" s="30">
        <v>0.26</v>
      </c>
      <c r="U97" s="30">
        <v>14</v>
      </c>
      <c r="V97" s="30">
        <v>0</v>
      </c>
      <c r="W97" s="30">
        <v>0</v>
      </c>
      <c r="X97" s="30">
        <v>0</v>
      </c>
      <c r="Y97" s="30">
        <v>0.03</v>
      </c>
      <c r="Z97" s="30">
        <v>0</v>
      </c>
      <c r="AA97" s="30">
        <v>15</v>
      </c>
      <c r="AB97" s="31">
        <v>1379</v>
      </c>
      <c r="AC97" s="31" t="s">
        <v>1420</v>
      </c>
      <c r="AD97" s="31" t="s">
        <v>194</v>
      </c>
      <c r="AE97" s="31" t="s">
        <v>579</v>
      </c>
      <c r="AF97" s="31" t="s">
        <v>1421</v>
      </c>
      <c r="AG97" s="31" t="s">
        <v>1422</v>
      </c>
      <c r="AH97" s="31" t="s">
        <v>1423</v>
      </c>
      <c r="AI97" s="31" t="s">
        <v>155</v>
      </c>
      <c r="AJ97" s="31" t="s">
        <v>156</v>
      </c>
      <c r="AK97" s="31" t="s">
        <v>687</v>
      </c>
      <c r="AL97" s="31" t="s">
        <v>282</v>
      </c>
      <c r="AM97" s="31" t="s">
        <v>159</v>
      </c>
      <c r="AN97" s="31" t="s">
        <v>160</v>
      </c>
      <c r="AO97" s="31" t="s">
        <v>1424</v>
      </c>
      <c r="AP97" s="31" t="s">
        <v>286</v>
      </c>
      <c r="AQ97" s="31" t="s">
        <v>162</v>
      </c>
      <c r="AR97" s="31">
        <v>20</v>
      </c>
      <c r="AS97" s="31">
        <v>27</v>
      </c>
      <c r="AT97" s="31">
        <v>7</v>
      </c>
      <c r="AU97" s="31">
        <v>35</v>
      </c>
      <c r="AV97" s="31">
        <v>600</v>
      </c>
      <c r="AW97" s="31">
        <v>1300</v>
      </c>
      <c r="AX97" s="31">
        <v>400</v>
      </c>
      <c r="AY97" s="31">
        <v>1800</v>
      </c>
      <c r="AZ97" s="31">
        <v>5.5</v>
      </c>
      <c r="BA97" s="31">
        <v>6.8</v>
      </c>
      <c r="BB97" s="31">
        <v>5</v>
      </c>
      <c r="BC97" s="31">
        <v>7.5</v>
      </c>
      <c r="BD97" s="31"/>
      <c r="BE97" s="31"/>
      <c r="BF97" s="31"/>
      <c r="BG97" s="31"/>
      <c r="BH97" s="31">
        <v>2400</v>
      </c>
      <c r="BI97" s="31" t="s">
        <v>164</v>
      </c>
      <c r="BJ97" s="31" t="s">
        <v>164</v>
      </c>
      <c r="BK97" s="31" t="s">
        <v>163</v>
      </c>
      <c r="BL97" s="31" t="s">
        <v>165</v>
      </c>
      <c r="BM97" s="31" t="s">
        <v>201</v>
      </c>
      <c r="BN97" s="31" t="s">
        <v>201</v>
      </c>
      <c r="BO97" s="31" t="s">
        <v>167</v>
      </c>
      <c r="BP97" s="31" t="s">
        <v>203</v>
      </c>
      <c r="BQ97" s="31" t="s">
        <v>169</v>
      </c>
      <c r="BR97" s="31" t="s">
        <v>170</v>
      </c>
      <c r="BS97" s="31"/>
      <c r="BT97" s="31"/>
      <c r="BU97" s="31" t="s">
        <v>171</v>
      </c>
      <c r="BV97" s="31" t="s">
        <v>171</v>
      </c>
      <c r="BW97" s="31" t="s">
        <v>172</v>
      </c>
      <c r="BX97" s="31" t="s">
        <v>172</v>
      </c>
      <c r="BY97" s="31"/>
      <c r="BZ97" s="31"/>
      <c r="CA97" s="31" t="s">
        <v>173</v>
      </c>
      <c r="CB97" s="31" t="s">
        <v>232</v>
      </c>
      <c r="CC97" s="31"/>
      <c r="CD97" s="31"/>
      <c r="CE97" s="31"/>
      <c r="CF97" s="31"/>
      <c r="CG97" s="31">
        <v>70</v>
      </c>
      <c r="CH97" s="31">
        <v>150</v>
      </c>
      <c r="CI97" s="19">
        <v>0.5</v>
      </c>
      <c r="CJ97" s="19">
        <v>2.5</v>
      </c>
      <c r="CK97" s="19">
        <v>0.4</v>
      </c>
      <c r="CL97" s="19">
        <v>1.2</v>
      </c>
      <c r="CM97" s="17" t="s">
        <v>1425</v>
      </c>
      <c r="CN97" s="20">
        <v>10</v>
      </c>
      <c r="CO97" s="20">
        <v>500</v>
      </c>
      <c r="CP97" s="17" t="s">
        <v>1426</v>
      </c>
      <c r="CQ97" s="17" t="s">
        <v>345</v>
      </c>
      <c r="CR97" s="21">
        <v>6</v>
      </c>
      <c r="CS97" s="21">
        <v>8</v>
      </c>
      <c r="CT97" s="21">
        <v>6</v>
      </c>
      <c r="CU97" s="21">
        <v>4</v>
      </c>
      <c r="CV97" s="21">
        <v>6</v>
      </c>
      <c r="CW97" s="21">
        <v>10</v>
      </c>
      <c r="CX97" s="21">
        <v>6</v>
      </c>
      <c r="CY97" s="21">
        <v>20</v>
      </c>
      <c r="CZ97" s="21">
        <v>8</v>
      </c>
      <c r="DA97" s="21">
        <v>150</v>
      </c>
      <c r="DB97" s="21">
        <v>180</v>
      </c>
      <c r="DC97" s="21">
        <v>200</v>
      </c>
      <c r="DD97" s="21">
        <v>30</v>
      </c>
      <c r="DE97" s="21">
        <v>50</v>
      </c>
      <c r="DF97" s="21">
        <v>100</v>
      </c>
      <c r="DG97" s="21">
        <v>60</v>
      </c>
      <c r="DH97" s="21">
        <v>500</v>
      </c>
      <c r="DI97" s="21">
        <v>120</v>
      </c>
      <c r="DJ97" s="17" t="s">
        <v>1427</v>
      </c>
      <c r="DK97" s="17" t="s">
        <v>180</v>
      </c>
      <c r="DL97" s="22">
        <v>75</v>
      </c>
      <c r="DM97" s="17" t="s">
        <v>1428</v>
      </c>
      <c r="DN97" s="25" t="s">
        <v>183</v>
      </c>
      <c r="DO97" s="25" t="s">
        <v>183</v>
      </c>
      <c r="DP97" s="25" t="s">
        <v>183</v>
      </c>
      <c r="DQ97" s="24" t="s">
        <v>182</v>
      </c>
      <c r="DR97" s="24" t="s">
        <v>182</v>
      </c>
      <c r="DS97" s="23"/>
      <c r="DT97" s="23"/>
      <c r="DU97" s="23"/>
      <c r="DV97" s="23"/>
      <c r="DW97" s="23"/>
      <c r="DX97" s="24" t="s">
        <v>182</v>
      </c>
      <c r="DY97" s="25" t="s">
        <v>183</v>
      </c>
      <c r="DZ97" s="17" t="s">
        <v>1429</v>
      </c>
      <c r="EA97" s="17" t="s">
        <v>590</v>
      </c>
      <c r="EB97" s="52" t="s">
        <v>301</v>
      </c>
      <c r="EC97" s="17" t="s">
        <v>1430</v>
      </c>
      <c r="ED97" s="27" t="s">
        <v>828</v>
      </c>
      <c r="EE97" s="22">
        <v>7</v>
      </c>
      <c r="EF97" s="54" t="s">
        <v>304</v>
      </c>
    </row>
    <row r="98" spans="1:136" ht="15" customHeight="1" x14ac:dyDescent="0.25">
      <c r="A98" s="16" t="s">
        <v>1750</v>
      </c>
      <c r="B98" s="17" t="s">
        <v>1700</v>
      </c>
      <c r="C98" s="17" t="s">
        <v>1751</v>
      </c>
      <c r="D98" s="18">
        <v>16</v>
      </c>
      <c r="E98" s="18">
        <v>1.8</v>
      </c>
      <c r="F98" s="18">
        <v>0.2</v>
      </c>
      <c r="G98" s="18">
        <v>0.8</v>
      </c>
      <c r="H98" s="18">
        <v>1.8</v>
      </c>
      <c r="I98" s="18">
        <v>30</v>
      </c>
      <c r="J98" s="18">
        <v>1.7</v>
      </c>
      <c r="K98" s="18">
        <v>12</v>
      </c>
      <c r="L98" s="18">
        <v>47</v>
      </c>
      <c r="M98" s="18">
        <v>220</v>
      </c>
      <c r="N98" s="18">
        <v>36</v>
      </c>
      <c r="O98" s="18">
        <v>0.2</v>
      </c>
      <c r="P98" s="18"/>
      <c r="Q98" s="18"/>
      <c r="R98" s="18">
        <v>0.3</v>
      </c>
      <c r="S98" s="18">
        <v>42</v>
      </c>
      <c r="T98" s="18">
        <v>2.2599999999999998</v>
      </c>
      <c r="U98" s="18">
        <v>12</v>
      </c>
      <c r="V98" s="18">
        <v>0.03</v>
      </c>
      <c r="W98" s="18">
        <v>0.09</v>
      </c>
      <c r="X98" s="18">
        <v>0.5</v>
      </c>
      <c r="Y98" s="18">
        <v>0.1</v>
      </c>
      <c r="Z98" s="18">
        <v>0</v>
      </c>
      <c r="AA98" s="18">
        <v>110</v>
      </c>
      <c r="AB98" s="18">
        <v>693</v>
      </c>
      <c r="AC98" s="18" t="s">
        <v>1752</v>
      </c>
      <c r="AD98" s="18" t="s">
        <v>221</v>
      </c>
      <c r="AE98" s="18" t="s">
        <v>397</v>
      </c>
      <c r="AF98" s="18"/>
      <c r="AG98" s="18" t="s">
        <v>1753</v>
      </c>
      <c r="AH98" s="18" t="s">
        <v>1753</v>
      </c>
      <c r="AI98" s="18" t="s">
        <v>155</v>
      </c>
      <c r="AJ98" s="18" t="s">
        <v>156</v>
      </c>
      <c r="AK98" s="18" t="s">
        <v>1357</v>
      </c>
      <c r="AL98" s="18" t="s">
        <v>158</v>
      </c>
      <c r="AM98" s="18" t="s">
        <v>159</v>
      </c>
      <c r="AN98" s="18" t="s">
        <v>160</v>
      </c>
      <c r="AO98" s="18" t="s">
        <v>161</v>
      </c>
      <c r="AP98" s="18" t="s">
        <v>161</v>
      </c>
      <c r="AQ98" s="18" t="s">
        <v>362</v>
      </c>
      <c r="AR98" s="18">
        <v>15</v>
      </c>
      <c r="AS98" s="18">
        <v>23</v>
      </c>
      <c r="AT98" s="18">
        <v>5</v>
      </c>
      <c r="AU98" s="18">
        <v>30</v>
      </c>
      <c r="AV98" s="18">
        <v>1000</v>
      </c>
      <c r="AW98" s="18">
        <v>1400</v>
      </c>
      <c r="AX98" s="18">
        <v>300</v>
      </c>
      <c r="AY98" s="18">
        <v>2500</v>
      </c>
      <c r="AZ98" s="18">
        <v>6.5</v>
      </c>
      <c r="BA98" s="18">
        <v>7.8</v>
      </c>
      <c r="BB98" s="18">
        <v>5.3</v>
      </c>
      <c r="BC98" s="18">
        <v>8.5</v>
      </c>
      <c r="BD98" s="18">
        <v>10</v>
      </c>
      <c r="BE98" s="18"/>
      <c r="BF98" s="18">
        <v>40</v>
      </c>
      <c r="BG98" s="18">
        <v>60</v>
      </c>
      <c r="BH98" s="18">
        <v>2000</v>
      </c>
      <c r="BI98" s="18" t="s">
        <v>164</v>
      </c>
      <c r="BJ98" s="18" t="s">
        <v>164</v>
      </c>
      <c r="BK98" s="18" t="s">
        <v>163</v>
      </c>
      <c r="BL98" s="18" t="s">
        <v>165</v>
      </c>
      <c r="BM98" s="18" t="s">
        <v>201</v>
      </c>
      <c r="BN98" s="18" t="s">
        <v>201</v>
      </c>
      <c r="BO98" s="18" t="s">
        <v>167</v>
      </c>
      <c r="BP98" s="18" t="s">
        <v>203</v>
      </c>
      <c r="BQ98" s="18" t="s">
        <v>169</v>
      </c>
      <c r="BR98" s="18" t="s">
        <v>170</v>
      </c>
      <c r="BS98" s="18"/>
      <c r="BT98" s="18"/>
      <c r="BU98" s="18" t="s">
        <v>171</v>
      </c>
      <c r="BV98" s="18" t="s">
        <v>171</v>
      </c>
      <c r="BW98" s="18" t="s">
        <v>172</v>
      </c>
      <c r="BX98" s="18" t="s">
        <v>290</v>
      </c>
      <c r="BY98" s="18">
        <v>-5</v>
      </c>
      <c r="BZ98" s="18">
        <v>-1</v>
      </c>
      <c r="CA98" s="18" t="s">
        <v>173</v>
      </c>
      <c r="CB98" s="18" t="s">
        <v>1754</v>
      </c>
      <c r="CC98" s="18"/>
      <c r="CD98" s="18"/>
      <c r="CE98" s="18"/>
      <c r="CF98" s="18" t="s">
        <v>175</v>
      </c>
      <c r="CG98" s="18">
        <v>70</v>
      </c>
      <c r="CH98" s="18">
        <v>85</v>
      </c>
      <c r="CI98" s="19">
        <v>0.3</v>
      </c>
      <c r="CJ98" s="19">
        <v>0.7</v>
      </c>
      <c r="CK98" s="19">
        <v>0.3</v>
      </c>
      <c r="CL98" s="19">
        <v>0.5</v>
      </c>
      <c r="CM98" s="17" t="s">
        <v>267</v>
      </c>
      <c r="CN98" s="20">
        <v>8</v>
      </c>
      <c r="CO98" s="20">
        <v>35</v>
      </c>
      <c r="CP98" s="17" t="s">
        <v>1755</v>
      </c>
      <c r="CQ98" s="17" t="s">
        <v>209</v>
      </c>
      <c r="CR98" s="21">
        <v>5</v>
      </c>
      <c r="CS98" s="21">
        <v>5</v>
      </c>
      <c r="CT98" s="21">
        <v>6</v>
      </c>
      <c r="CU98" s="21">
        <v>3</v>
      </c>
      <c r="CV98" s="21">
        <v>3</v>
      </c>
      <c r="CW98" s="21">
        <v>0</v>
      </c>
      <c r="CX98" s="21">
        <v>4</v>
      </c>
      <c r="CY98" s="21">
        <v>12</v>
      </c>
      <c r="CZ98" s="21">
        <v>8</v>
      </c>
      <c r="DA98" s="21">
        <v>130</v>
      </c>
      <c r="DB98" s="21">
        <v>130</v>
      </c>
      <c r="DC98" s="21">
        <v>200</v>
      </c>
      <c r="DD98" s="21">
        <v>25</v>
      </c>
      <c r="DE98" s="21">
        <v>25</v>
      </c>
      <c r="DF98" s="21">
        <v>0</v>
      </c>
      <c r="DG98" s="21">
        <v>40</v>
      </c>
      <c r="DH98" s="21">
        <v>300</v>
      </c>
      <c r="DI98" s="21">
        <v>100</v>
      </c>
      <c r="DJ98" s="17" t="s">
        <v>1756</v>
      </c>
      <c r="DK98" s="17" t="s">
        <v>180</v>
      </c>
      <c r="DL98" s="22">
        <v>75</v>
      </c>
      <c r="DM98" s="17" t="s">
        <v>1757</v>
      </c>
      <c r="DN98" s="23"/>
      <c r="DO98" s="23"/>
      <c r="DP98" s="23"/>
      <c r="DQ98" s="24" t="s">
        <v>182</v>
      </c>
      <c r="DR98" s="25" t="s">
        <v>183</v>
      </c>
      <c r="DS98" s="25" t="s">
        <v>183</v>
      </c>
      <c r="DT98" s="25" t="s">
        <v>183</v>
      </c>
      <c r="DU98" s="25" t="s">
        <v>183</v>
      </c>
      <c r="DV98" s="25" t="s">
        <v>183</v>
      </c>
      <c r="DW98" s="24" t="s">
        <v>182</v>
      </c>
      <c r="DX98" s="23"/>
      <c r="DY98" s="23"/>
      <c r="DZ98" s="17" t="s">
        <v>1758</v>
      </c>
      <c r="EA98" s="17" t="s">
        <v>1759</v>
      </c>
      <c r="EB98" s="43" t="s">
        <v>214</v>
      </c>
      <c r="EC98" s="17" t="s">
        <v>925</v>
      </c>
      <c r="ED98" s="27" t="s">
        <v>475</v>
      </c>
      <c r="EE98" s="22">
        <v>1</v>
      </c>
      <c r="EF98" s="54" t="s">
        <v>217</v>
      </c>
    </row>
    <row r="99" spans="1:136" ht="15" customHeight="1" x14ac:dyDescent="0.25">
      <c r="A99" s="16" t="s">
        <v>986</v>
      </c>
      <c r="B99" s="29" t="s">
        <v>409</v>
      </c>
      <c r="C99" s="29" t="s">
        <v>987</v>
      </c>
      <c r="D99" s="30">
        <v>71.2</v>
      </c>
      <c r="E99" s="30">
        <v>0.8</v>
      </c>
      <c r="F99" s="30">
        <v>0</v>
      </c>
      <c r="G99" s="30">
        <v>16.8</v>
      </c>
      <c r="H99" s="30">
        <v>1.2</v>
      </c>
      <c r="I99" s="30">
        <v>3</v>
      </c>
      <c r="J99" s="30">
        <v>0.34</v>
      </c>
      <c r="K99" s="30">
        <v>10</v>
      </c>
      <c r="L99" s="30">
        <v>30</v>
      </c>
      <c r="M99" s="30">
        <v>155</v>
      </c>
      <c r="N99" s="30">
        <v>0</v>
      </c>
      <c r="O99" s="30">
        <v>0.38</v>
      </c>
      <c r="P99" s="30">
        <v>0.16</v>
      </c>
      <c r="Q99" s="30">
        <v>5.5E-2</v>
      </c>
      <c r="R99" s="30">
        <v>0.3</v>
      </c>
      <c r="S99" s="30">
        <v>0</v>
      </c>
      <c r="T99" s="30">
        <v>0.04</v>
      </c>
      <c r="U99" s="30">
        <v>33</v>
      </c>
      <c r="V99" s="30">
        <v>2.5000000000000001E-2</v>
      </c>
      <c r="W99" s="30">
        <v>5.5E-2</v>
      </c>
      <c r="X99" s="30">
        <v>0.85</v>
      </c>
      <c r="Y99" s="30">
        <v>0.09</v>
      </c>
      <c r="Z99" s="30">
        <v>0</v>
      </c>
      <c r="AA99" s="30">
        <v>12</v>
      </c>
      <c r="AB99" s="31">
        <v>1357</v>
      </c>
      <c r="AC99" s="31" t="s">
        <v>988</v>
      </c>
      <c r="AD99" s="31" t="s">
        <v>989</v>
      </c>
      <c r="AE99" s="31" t="s">
        <v>957</v>
      </c>
      <c r="AF99" s="31" t="s">
        <v>990</v>
      </c>
      <c r="AG99" s="31" t="s">
        <v>991</v>
      </c>
      <c r="AH99" s="31" t="s">
        <v>992</v>
      </c>
      <c r="AI99" s="31" t="s">
        <v>155</v>
      </c>
      <c r="AJ99" s="31" t="s">
        <v>337</v>
      </c>
      <c r="AK99" s="31" t="s">
        <v>157</v>
      </c>
      <c r="AL99" s="31" t="s">
        <v>314</v>
      </c>
      <c r="AM99" s="31"/>
      <c r="AN99" s="31" t="s">
        <v>993</v>
      </c>
      <c r="AO99" s="31" t="s">
        <v>994</v>
      </c>
      <c r="AP99" s="31" t="s">
        <v>419</v>
      </c>
      <c r="AQ99" s="31" t="s">
        <v>162</v>
      </c>
      <c r="AR99" s="31">
        <v>20</v>
      </c>
      <c r="AS99" s="31">
        <v>35</v>
      </c>
      <c r="AT99" s="31">
        <v>15</v>
      </c>
      <c r="AU99" s="31">
        <v>40</v>
      </c>
      <c r="AV99" s="31">
        <v>1000</v>
      </c>
      <c r="AW99" s="31">
        <v>1700</v>
      </c>
      <c r="AX99" s="31">
        <v>700</v>
      </c>
      <c r="AY99" s="31">
        <v>2800</v>
      </c>
      <c r="AZ99" s="31">
        <v>5.5</v>
      </c>
      <c r="BA99" s="31">
        <v>6.5</v>
      </c>
      <c r="BB99" s="31">
        <v>5</v>
      </c>
      <c r="BC99" s="31">
        <v>8.5</v>
      </c>
      <c r="BD99" s="31">
        <v>13</v>
      </c>
      <c r="BE99" s="31">
        <v>9</v>
      </c>
      <c r="BF99" s="31">
        <v>29</v>
      </c>
      <c r="BG99" s="31">
        <v>32</v>
      </c>
      <c r="BH99" s="31">
        <v>2000</v>
      </c>
      <c r="BI99" s="31" t="s">
        <v>163</v>
      </c>
      <c r="BJ99" s="31" t="s">
        <v>164</v>
      </c>
      <c r="BK99" s="31" t="s">
        <v>163</v>
      </c>
      <c r="BL99" s="31" t="s">
        <v>165</v>
      </c>
      <c r="BM99" s="31" t="s">
        <v>288</v>
      </c>
      <c r="BN99" s="31" t="s">
        <v>201</v>
      </c>
      <c r="BO99" s="31" t="s">
        <v>167</v>
      </c>
      <c r="BP99" s="31" t="s">
        <v>203</v>
      </c>
      <c r="BQ99" s="31" t="s">
        <v>170</v>
      </c>
      <c r="BR99" s="31" t="s">
        <v>230</v>
      </c>
      <c r="BS99" s="31"/>
      <c r="BT99" s="31"/>
      <c r="BU99" s="31" t="s">
        <v>171</v>
      </c>
      <c r="BV99" s="31" t="s">
        <v>171</v>
      </c>
      <c r="BW99" s="31" t="s">
        <v>172</v>
      </c>
      <c r="BX99" s="31" t="s">
        <v>882</v>
      </c>
      <c r="BY99" s="31">
        <v>-5</v>
      </c>
      <c r="BZ99" s="31">
        <v>-1</v>
      </c>
      <c r="CA99" s="31" t="s">
        <v>173</v>
      </c>
      <c r="CB99" s="31" t="s">
        <v>995</v>
      </c>
      <c r="CC99" s="31"/>
      <c r="CD99" s="31" t="s">
        <v>964</v>
      </c>
      <c r="CE99" s="31"/>
      <c r="CF99" s="31"/>
      <c r="CG99" s="31">
        <v>100</v>
      </c>
      <c r="CH99" s="31">
        <v>270</v>
      </c>
      <c r="CI99" s="19">
        <v>10</v>
      </c>
      <c r="CJ99" s="19">
        <v>20</v>
      </c>
      <c r="CK99" s="19">
        <v>8</v>
      </c>
      <c r="CL99" s="19">
        <v>15</v>
      </c>
      <c r="CM99" s="17" t="s">
        <v>568</v>
      </c>
      <c r="CN99" s="20">
        <v>3</v>
      </c>
      <c r="CO99" s="20">
        <v>20</v>
      </c>
      <c r="CP99" s="17" t="s">
        <v>996</v>
      </c>
      <c r="CQ99" s="17" t="s">
        <v>209</v>
      </c>
      <c r="CR99" s="21">
        <v>0</v>
      </c>
      <c r="CS99" s="21">
        <v>0</v>
      </c>
      <c r="CT99" s="21">
        <v>6</v>
      </c>
      <c r="CU99" s="21">
        <v>4</v>
      </c>
      <c r="CV99" s="21">
        <v>6</v>
      </c>
      <c r="CW99" s="21">
        <v>15</v>
      </c>
      <c r="CX99" s="21">
        <v>5</v>
      </c>
      <c r="CY99" s="21">
        <v>25</v>
      </c>
      <c r="CZ99" s="21">
        <v>10</v>
      </c>
      <c r="DA99" s="21">
        <v>0</v>
      </c>
      <c r="DB99" s="21">
        <v>0</v>
      </c>
      <c r="DC99" s="21">
        <v>50</v>
      </c>
      <c r="DD99" s="21">
        <v>25</v>
      </c>
      <c r="DE99" s="21">
        <v>40</v>
      </c>
      <c r="DF99" s="21">
        <v>120</v>
      </c>
      <c r="DG99" s="21">
        <v>35</v>
      </c>
      <c r="DH99" s="21">
        <v>400</v>
      </c>
      <c r="DI99" s="21">
        <v>100</v>
      </c>
      <c r="DJ99" s="17" t="s">
        <v>997</v>
      </c>
      <c r="DK99" s="17" t="s">
        <v>409</v>
      </c>
      <c r="DL99" s="22">
        <v>150</v>
      </c>
      <c r="DM99" s="17" t="s">
        <v>998</v>
      </c>
      <c r="DN99" s="25" t="s">
        <v>183</v>
      </c>
      <c r="DO99" s="24" t="s">
        <v>182</v>
      </c>
      <c r="DP99" s="23"/>
      <c r="DQ99" s="23"/>
      <c r="DR99" s="23"/>
      <c r="DS99" s="23"/>
      <c r="DT99" s="23"/>
      <c r="DU99" s="23"/>
      <c r="DV99" s="23"/>
      <c r="DW99" s="24" t="s">
        <v>182</v>
      </c>
      <c r="DX99" s="25" t="s">
        <v>183</v>
      </c>
      <c r="DY99" s="25" t="s">
        <v>183</v>
      </c>
      <c r="DZ99" s="17" t="s">
        <v>999</v>
      </c>
      <c r="EA99" s="17" t="s">
        <v>1000</v>
      </c>
      <c r="EB99" s="43" t="s">
        <v>214</v>
      </c>
      <c r="EC99" s="17" t="s">
        <v>591</v>
      </c>
      <c r="ED99" s="27" t="s">
        <v>216</v>
      </c>
      <c r="EE99" s="22">
        <v>4</v>
      </c>
      <c r="EF99" s="54" t="s">
        <v>217</v>
      </c>
    </row>
    <row r="100" spans="1:136" ht="15" customHeight="1" x14ac:dyDescent="0.25">
      <c r="A100" s="16" t="s">
        <v>460</v>
      </c>
      <c r="B100" s="29" t="s">
        <v>409</v>
      </c>
      <c r="C100" s="29" t="s">
        <v>461</v>
      </c>
      <c r="D100" s="30">
        <v>95.4</v>
      </c>
      <c r="E100" s="30">
        <v>1.4</v>
      </c>
      <c r="F100" s="30">
        <v>0.2</v>
      </c>
      <c r="G100" s="30">
        <v>19.899999999999999</v>
      </c>
      <c r="H100" s="30">
        <v>2.2000000000000002</v>
      </c>
      <c r="I100" s="30">
        <v>5</v>
      </c>
      <c r="J100" s="30">
        <v>0.28999999999999998</v>
      </c>
      <c r="K100" s="30">
        <v>30</v>
      </c>
      <c r="L100" s="30">
        <v>21</v>
      </c>
      <c r="M100" s="30">
        <v>348</v>
      </c>
      <c r="N100" s="30">
        <v>0</v>
      </c>
      <c r="O100" s="30">
        <v>0.16</v>
      </c>
      <c r="P100" s="30">
        <v>9.0999999999999998E-2</v>
      </c>
      <c r="Q100" s="30">
        <v>0.379</v>
      </c>
      <c r="R100" s="30">
        <v>0.2</v>
      </c>
      <c r="S100" s="30">
        <v>4</v>
      </c>
      <c r="T100" s="30">
        <v>0.12</v>
      </c>
      <c r="U100" s="30">
        <v>5</v>
      </c>
      <c r="V100" s="30">
        <v>0.02</v>
      </c>
      <c r="W100" s="30">
        <v>4.7E-2</v>
      </c>
      <c r="X100" s="30">
        <v>0.26</v>
      </c>
      <c r="Y100" s="30">
        <v>0.22</v>
      </c>
      <c r="Z100" s="30">
        <v>0</v>
      </c>
      <c r="AA100" s="30">
        <v>32</v>
      </c>
      <c r="AB100" s="31">
        <v>1503</v>
      </c>
      <c r="AC100" s="31" t="s">
        <v>462</v>
      </c>
      <c r="AD100" s="31" t="s">
        <v>221</v>
      </c>
      <c r="AE100" s="31" t="s">
        <v>463</v>
      </c>
      <c r="AF100" s="31" t="s">
        <v>464</v>
      </c>
      <c r="AG100" s="31" t="s">
        <v>465</v>
      </c>
      <c r="AH100" s="31" t="s">
        <v>466</v>
      </c>
      <c r="AI100" s="31" t="s">
        <v>226</v>
      </c>
      <c r="AJ100" s="31" t="s">
        <v>156</v>
      </c>
      <c r="AK100" s="31" t="s">
        <v>157</v>
      </c>
      <c r="AL100" s="31" t="s">
        <v>314</v>
      </c>
      <c r="AM100" s="31"/>
      <c r="AN100" s="31"/>
      <c r="AO100" s="31" t="s">
        <v>419</v>
      </c>
      <c r="AP100" s="31" t="s">
        <v>419</v>
      </c>
      <c r="AQ100" s="31" t="s">
        <v>162</v>
      </c>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v>0</v>
      </c>
      <c r="CH100" s="31">
        <v>0</v>
      </c>
      <c r="CI100" s="32">
        <v>3</v>
      </c>
      <c r="CJ100" s="32">
        <v>9</v>
      </c>
      <c r="CK100" s="32">
        <v>2</v>
      </c>
      <c r="CL100" s="32">
        <v>4</v>
      </c>
      <c r="CM100" s="33" t="s">
        <v>467</v>
      </c>
      <c r="CN100" s="34">
        <v>5</v>
      </c>
      <c r="CO100" s="34">
        <v>60</v>
      </c>
      <c r="CP100" s="35" t="s">
        <v>468</v>
      </c>
      <c r="CQ100" s="35" t="s">
        <v>345</v>
      </c>
      <c r="CR100" s="36">
        <v>0</v>
      </c>
      <c r="CS100" s="36">
        <v>0</v>
      </c>
      <c r="CT100" s="36">
        <v>15</v>
      </c>
      <c r="CU100" s="36">
        <v>8</v>
      </c>
      <c r="CV100" s="36">
        <v>8</v>
      </c>
      <c r="CW100" s="36">
        <v>10</v>
      </c>
      <c r="CX100" s="36">
        <v>8</v>
      </c>
      <c r="CY100" s="36">
        <v>25</v>
      </c>
      <c r="CZ100" s="36">
        <v>15</v>
      </c>
      <c r="DA100" s="37">
        <v>0</v>
      </c>
      <c r="DB100" s="37">
        <v>0</v>
      </c>
      <c r="DC100" s="37">
        <v>120</v>
      </c>
      <c r="DD100" s="37">
        <v>60</v>
      </c>
      <c r="DE100" s="37">
        <v>50</v>
      </c>
      <c r="DF100" s="37">
        <v>80</v>
      </c>
      <c r="DG100" s="37">
        <v>60</v>
      </c>
      <c r="DH100" s="37">
        <v>350</v>
      </c>
      <c r="DI100" s="37">
        <v>150</v>
      </c>
      <c r="DJ100" s="38" t="s">
        <v>469</v>
      </c>
      <c r="DK100" s="39" t="s">
        <v>409</v>
      </c>
      <c r="DL100" s="40">
        <v>150</v>
      </c>
      <c r="DM100" s="39" t="s">
        <v>470</v>
      </c>
      <c r="DN100" s="25" t="s">
        <v>183</v>
      </c>
      <c r="DO100" s="25" t="s">
        <v>183</v>
      </c>
      <c r="DP100" s="25" t="s">
        <v>183</v>
      </c>
      <c r="DQ100" s="25" t="s">
        <v>183</v>
      </c>
      <c r="DR100" s="24" t="s">
        <v>182</v>
      </c>
      <c r="DS100" s="24" t="s">
        <v>182</v>
      </c>
      <c r="DT100" s="41"/>
      <c r="DU100" s="41"/>
      <c r="DV100" s="41"/>
      <c r="DW100" s="24" t="s">
        <v>182</v>
      </c>
      <c r="DX100" s="24" t="s">
        <v>182</v>
      </c>
      <c r="DY100" s="24" t="s">
        <v>182</v>
      </c>
      <c r="DZ100" s="42" t="s">
        <v>471</v>
      </c>
      <c r="EA100" s="42" t="s">
        <v>472</v>
      </c>
      <c r="EB100" s="43" t="s">
        <v>214</v>
      </c>
      <c r="EC100" s="44" t="s">
        <v>473</v>
      </c>
      <c r="ED100" s="45" t="s">
        <v>474</v>
      </c>
      <c r="EE100" s="46">
        <v>2</v>
      </c>
      <c r="EF100" s="47" t="s">
        <v>475</v>
      </c>
    </row>
    <row r="101" spans="1:136" ht="15" customHeight="1" x14ac:dyDescent="0.25">
      <c r="A101" s="16" t="s">
        <v>393</v>
      </c>
      <c r="B101" s="17" t="s">
        <v>394</v>
      </c>
      <c r="C101" s="17" t="s">
        <v>395</v>
      </c>
      <c r="D101" s="18">
        <v>34.700000000000003</v>
      </c>
      <c r="E101" s="18">
        <v>2.8</v>
      </c>
      <c r="F101" s="18">
        <v>0.2</v>
      </c>
      <c r="G101" s="18">
        <v>1.3</v>
      </c>
      <c r="H101" s="18">
        <v>8.1</v>
      </c>
      <c r="I101" s="18">
        <v>30</v>
      </c>
      <c r="J101" s="18">
        <v>0.5</v>
      </c>
      <c r="K101" s="18">
        <v>18</v>
      </c>
      <c r="L101" s="18">
        <v>90</v>
      </c>
      <c r="M101" s="18">
        <v>360</v>
      </c>
      <c r="N101" s="18">
        <v>6</v>
      </c>
      <c r="O101" s="18">
        <v>0.6</v>
      </c>
      <c r="P101" s="18"/>
      <c r="Q101" s="18"/>
      <c r="R101" s="18">
        <v>0.2</v>
      </c>
      <c r="S101" s="18">
        <v>15</v>
      </c>
      <c r="T101" s="18">
        <v>0.19</v>
      </c>
      <c r="U101" s="18">
        <v>16</v>
      </c>
      <c r="V101" s="18">
        <v>0.06</v>
      </c>
      <c r="W101" s="18">
        <v>0.08</v>
      </c>
      <c r="X101" s="18">
        <v>0.6</v>
      </c>
      <c r="Y101" s="18">
        <v>0.12</v>
      </c>
      <c r="Z101" s="18">
        <v>0</v>
      </c>
      <c r="AA101" s="18">
        <v>68</v>
      </c>
      <c r="AB101" s="18">
        <v>847</v>
      </c>
      <c r="AC101" s="18" t="s">
        <v>396</v>
      </c>
      <c r="AD101" s="18"/>
      <c r="AE101" s="18" t="s">
        <v>397</v>
      </c>
      <c r="AF101" s="18"/>
      <c r="AG101" s="18" t="s">
        <v>398</v>
      </c>
      <c r="AH101" s="18" t="s">
        <v>399</v>
      </c>
      <c r="AI101" s="18" t="s">
        <v>155</v>
      </c>
      <c r="AJ101" s="18" t="s">
        <v>156</v>
      </c>
      <c r="AK101" s="18" t="s">
        <v>157</v>
      </c>
      <c r="AL101" s="18" t="s">
        <v>314</v>
      </c>
      <c r="AM101" s="18"/>
      <c r="AN101" s="18"/>
      <c r="AO101" s="18" t="s">
        <v>200</v>
      </c>
      <c r="AP101" s="18" t="s">
        <v>161</v>
      </c>
      <c r="AQ101" s="18" t="s">
        <v>287</v>
      </c>
      <c r="AR101" s="18">
        <v>15</v>
      </c>
      <c r="AS101" s="18">
        <v>25</v>
      </c>
      <c r="AT101" s="18">
        <v>5</v>
      </c>
      <c r="AU101" s="18">
        <v>30</v>
      </c>
      <c r="AV101" s="18">
        <v>900</v>
      </c>
      <c r="AW101" s="18">
        <v>1200</v>
      </c>
      <c r="AX101" s="18">
        <v>300</v>
      </c>
      <c r="AY101" s="18">
        <v>1500</v>
      </c>
      <c r="AZ101" s="18">
        <v>6</v>
      </c>
      <c r="BA101" s="18">
        <v>6.5</v>
      </c>
      <c r="BB101" s="18">
        <v>5.5</v>
      </c>
      <c r="BC101" s="18">
        <v>8.3000000000000007</v>
      </c>
      <c r="BD101" s="18"/>
      <c r="BE101" s="18"/>
      <c r="BF101" s="18"/>
      <c r="BG101" s="18"/>
      <c r="BH101" s="18">
        <v>2000</v>
      </c>
      <c r="BI101" s="18" t="s">
        <v>164</v>
      </c>
      <c r="BJ101" s="18" t="s">
        <v>165</v>
      </c>
      <c r="BK101" s="18" t="s">
        <v>163</v>
      </c>
      <c r="BL101" s="18" t="s">
        <v>165</v>
      </c>
      <c r="BM101" s="18" t="s">
        <v>166</v>
      </c>
      <c r="BN101" s="18" t="s">
        <v>166</v>
      </c>
      <c r="BO101" s="18" t="s">
        <v>250</v>
      </c>
      <c r="BP101" s="18" t="s">
        <v>203</v>
      </c>
      <c r="BQ101" s="18" t="s">
        <v>169</v>
      </c>
      <c r="BR101" s="18" t="s">
        <v>170</v>
      </c>
      <c r="BS101" s="18"/>
      <c r="BT101" s="18"/>
      <c r="BU101" s="18" t="s">
        <v>171</v>
      </c>
      <c r="BV101" s="18" t="s">
        <v>171</v>
      </c>
      <c r="BW101" s="18" t="s">
        <v>172</v>
      </c>
      <c r="BX101" s="18" t="s">
        <v>172</v>
      </c>
      <c r="BY101" s="18">
        <v>1</v>
      </c>
      <c r="BZ101" s="18">
        <v>0</v>
      </c>
      <c r="CA101" s="18" t="s">
        <v>173</v>
      </c>
      <c r="CB101" s="18" t="s">
        <v>400</v>
      </c>
      <c r="CC101" s="18"/>
      <c r="CD101" s="18"/>
      <c r="CE101" s="18"/>
      <c r="CF101" s="18"/>
      <c r="CG101" s="18">
        <v>210</v>
      </c>
      <c r="CH101" s="18">
        <v>270</v>
      </c>
      <c r="CI101" s="32">
        <v>1</v>
      </c>
      <c r="CJ101" s="32">
        <v>2</v>
      </c>
      <c r="CK101" s="32">
        <v>1</v>
      </c>
      <c r="CL101" s="32">
        <v>2</v>
      </c>
      <c r="CM101" s="33" t="s">
        <v>401</v>
      </c>
      <c r="CN101" s="34">
        <v>5</v>
      </c>
      <c r="CO101" s="34">
        <v>15</v>
      </c>
      <c r="CP101" s="35" t="s">
        <v>402</v>
      </c>
      <c r="CQ101" s="35" t="s">
        <v>209</v>
      </c>
      <c r="CR101" s="36">
        <v>6</v>
      </c>
      <c r="CS101" s="36">
        <v>6</v>
      </c>
      <c r="CT101" s="36">
        <v>8</v>
      </c>
      <c r="CU101" s="36">
        <v>4</v>
      </c>
      <c r="CV101" s="36">
        <v>4</v>
      </c>
      <c r="CW101" s="36">
        <v>8</v>
      </c>
      <c r="CX101" s="36">
        <v>5</v>
      </c>
      <c r="CY101" s="36">
        <v>20</v>
      </c>
      <c r="CZ101" s="36">
        <v>8</v>
      </c>
      <c r="DA101" s="37">
        <v>150</v>
      </c>
      <c r="DB101" s="37">
        <v>150</v>
      </c>
      <c r="DC101" s="37">
        <v>200</v>
      </c>
      <c r="DD101" s="37">
        <v>30</v>
      </c>
      <c r="DE101" s="37">
        <v>30</v>
      </c>
      <c r="DF101" s="37">
        <v>100</v>
      </c>
      <c r="DG101" s="37">
        <v>50</v>
      </c>
      <c r="DH101" s="37">
        <v>450</v>
      </c>
      <c r="DI101" s="37">
        <v>120</v>
      </c>
      <c r="DJ101" s="38" t="s">
        <v>403</v>
      </c>
      <c r="DK101" s="39" t="s">
        <v>180</v>
      </c>
      <c r="DL101" s="40">
        <v>75</v>
      </c>
      <c r="DM101" s="39" t="s">
        <v>404</v>
      </c>
      <c r="DN101" s="41"/>
      <c r="DO101" s="41"/>
      <c r="DP101" s="41"/>
      <c r="DQ101" s="41"/>
      <c r="DR101" s="41"/>
      <c r="DS101" s="41"/>
      <c r="DT101" s="24" t="s">
        <v>182</v>
      </c>
      <c r="DU101" s="25" t="s">
        <v>183</v>
      </c>
      <c r="DV101" s="25" t="s">
        <v>183</v>
      </c>
      <c r="DW101" s="25" t="s">
        <v>183</v>
      </c>
      <c r="DX101" s="24" t="s">
        <v>182</v>
      </c>
      <c r="DY101" s="41"/>
      <c r="DZ101" s="42" t="s">
        <v>405</v>
      </c>
      <c r="EA101" s="42" t="s">
        <v>406</v>
      </c>
      <c r="EB101" s="43" t="s">
        <v>214</v>
      </c>
      <c r="EC101" s="44" t="s">
        <v>407</v>
      </c>
      <c r="ED101" s="45" t="s">
        <v>216</v>
      </c>
      <c r="EE101" s="46">
        <v>5</v>
      </c>
      <c r="EF101" s="47" t="s">
        <v>217</v>
      </c>
    </row>
    <row r="102" spans="1:136" ht="15" customHeight="1" x14ac:dyDescent="0.25">
      <c r="A102" s="16" t="s">
        <v>1920</v>
      </c>
      <c r="B102" s="17" t="s">
        <v>2221</v>
      </c>
      <c r="C102" s="17" t="s">
        <v>2322</v>
      </c>
      <c r="D102" s="18">
        <v>22.5</v>
      </c>
      <c r="E102" s="18">
        <v>1.3</v>
      </c>
      <c r="F102" s="18">
        <v>0</v>
      </c>
      <c r="G102" s="18">
        <v>3.4</v>
      </c>
      <c r="H102" s="18">
        <v>1.7</v>
      </c>
      <c r="I102" s="18">
        <v>21</v>
      </c>
      <c r="J102" s="18">
        <v>0.3</v>
      </c>
      <c r="K102" s="18">
        <v>8</v>
      </c>
      <c r="L102" s="18">
        <v>28</v>
      </c>
      <c r="M102" s="18">
        <v>320</v>
      </c>
      <c r="N102" s="18">
        <v>24</v>
      </c>
      <c r="O102" s="18">
        <v>0.2</v>
      </c>
      <c r="P102" s="18"/>
      <c r="Q102" s="18"/>
      <c r="R102" s="18">
        <v>0.2</v>
      </c>
      <c r="S102" s="18">
        <v>0</v>
      </c>
      <c r="T102" s="18">
        <v>0</v>
      </c>
      <c r="U102" s="18">
        <v>23</v>
      </c>
      <c r="V102" s="18">
        <v>0.04</v>
      </c>
      <c r="W102" s="18">
        <v>0.04</v>
      </c>
      <c r="X102" s="18">
        <v>0.7</v>
      </c>
      <c r="Y102" s="18">
        <v>0.11</v>
      </c>
      <c r="Z102" s="18">
        <v>0</v>
      </c>
      <c r="AA102" s="18">
        <v>15</v>
      </c>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32">
        <v>0.3</v>
      </c>
      <c r="CJ102" s="32">
        <v>0.6</v>
      </c>
      <c r="CK102" s="32">
        <v>0.2</v>
      </c>
      <c r="CL102" s="32">
        <v>0.4</v>
      </c>
      <c r="CM102" s="33" t="s">
        <v>1922</v>
      </c>
      <c r="CN102" s="34">
        <v>15</v>
      </c>
      <c r="CO102" s="34">
        <v>60</v>
      </c>
      <c r="CP102" s="35" t="s">
        <v>1923</v>
      </c>
      <c r="CQ102" s="35" t="s">
        <v>1924</v>
      </c>
      <c r="CR102" s="36">
        <v>4</v>
      </c>
      <c r="CS102" s="36">
        <v>2</v>
      </c>
      <c r="CT102" s="36">
        <v>5</v>
      </c>
      <c r="CU102" s="36">
        <v>2</v>
      </c>
      <c r="CV102" s="36">
        <v>2</v>
      </c>
      <c r="CW102" s="36">
        <v>0</v>
      </c>
      <c r="CX102" s="36">
        <v>2</v>
      </c>
      <c r="CY102" s="36">
        <v>5</v>
      </c>
      <c r="CZ102" s="36">
        <v>3</v>
      </c>
      <c r="DA102" s="37">
        <v>120</v>
      </c>
      <c r="DB102" s="37">
        <v>50</v>
      </c>
      <c r="DC102" s="37">
        <v>160</v>
      </c>
      <c r="DD102" s="37">
        <v>20</v>
      </c>
      <c r="DE102" s="37">
        <v>15</v>
      </c>
      <c r="DF102" s="37">
        <v>0</v>
      </c>
      <c r="DG102" s="37">
        <v>20</v>
      </c>
      <c r="DH102" s="37">
        <v>220</v>
      </c>
      <c r="DI102" s="37">
        <v>60</v>
      </c>
      <c r="DJ102" s="38" t="s">
        <v>837</v>
      </c>
      <c r="DK102" s="39" t="s">
        <v>180</v>
      </c>
      <c r="DL102" s="40">
        <v>75</v>
      </c>
      <c r="DM102" s="39" t="s">
        <v>1925</v>
      </c>
      <c r="DN102" s="41"/>
      <c r="DO102" s="41"/>
      <c r="DP102" s="41"/>
      <c r="DQ102" s="24" t="s">
        <v>182</v>
      </c>
      <c r="DR102" s="25" t="s">
        <v>183</v>
      </c>
      <c r="DS102" s="25" t="s">
        <v>183</v>
      </c>
      <c r="DT102" s="25" t="s">
        <v>183</v>
      </c>
      <c r="DU102" s="25" t="s">
        <v>183</v>
      </c>
      <c r="DV102" s="25" t="s">
        <v>183</v>
      </c>
      <c r="DW102" s="24" t="s">
        <v>182</v>
      </c>
      <c r="DX102" s="41"/>
      <c r="DY102" s="41"/>
      <c r="DZ102" s="42" t="s">
        <v>1926</v>
      </c>
      <c r="EA102" s="42" t="s">
        <v>1927</v>
      </c>
      <c r="EB102" s="48" t="s">
        <v>239</v>
      </c>
      <c r="EC102" s="44" t="s">
        <v>1928</v>
      </c>
      <c r="ED102" s="45" t="s">
        <v>1292</v>
      </c>
      <c r="EE102" s="46">
        <v>1</v>
      </c>
      <c r="EF102" s="50" t="s">
        <v>1293</v>
      </c>
    </row>
    <row r="103" spans="1:136" ht="15" customHeight="1" x14ac:dyDescent="0.25">
      <c r="A103" s="16" t="s">
        <v>814</v>
      </c>
      <c r="B103" s="29" t="s">
        <v>409</v>
      </c>
      <c r="C103" s="29" t="s">
        <v>815</v>
      </c>
      <c r="D103" s="30">
        <v>46.6</v>
      </c>
      <c r="E103" s="30">
        <v>1.4</v>
      </c>
      <c r="F103" s="30">
        <v>0.3</v>
      </c>
      <c r="G103" s="30">
        <v>8.1</v>
      </c>
      <c r="H103" s="30">
        <v>3.3</v>
      </c>
      <c r="I103" s="30">
        <v>38</v>
      </c>
      <c r="J103" s="30">
        <v>0.3</v>
      </c>
      <c r="K103" s="30">
        <v>9</v>
      </c>
      <c r="L103" s="30">
        <v>14</v>
      </c>
      <c r="M103" s="30">
        <v>180</v>
      </c>
      <c r="N103" s="30">
        <v>3</v>
      </c>
      <c r="O103" s="30">
        <v>0.3</v>
      </c>
      <c r="P103" s="30"/>
      <c r="Q103" s="30"/>
      <c r="R103" s="30">
        <v>0.2</v>
      </c>
      <c r="S103" s="30">
        <v>25</v>
      </c>
      <c r="T103" s="30">
        <v>0.11</v>
      </c>
      <c r="U103" s="30">
        <v>3</v>
      </c>
      <c r="V103" s="30">
        <v>0.02</v>
      </c>
      <c r="W103" s="30">
        <v>0.03</v>
      </c>
      <c r="X103" s="30">
        <v>0.4</v>
      </c>
      <c r="Y103" s="30">
        <v>0.11</v>
      </c>
      <c r="Z103" s="30">
        <v>0</v>
      </c>
      <c r="AA103" s="30">
        <v>6</v>
      </c>
      <c r="AB103" s="31">
        <v>1071</v>
      </c>
      <c r="AC103" s="31" t="s">
        <v>816</v>
      </c>
      <c r="AD103" s="31" t="s">
        <v>221</v>
      </c>
      <c r="AE103" s="31" t="s">
        <v>562</v>
      </c>
      <c r="AF103" s="31"/>
      <c r="AG103" s="31" t="s">
        <v>817</v>
      </c>
      <c r="AH103" s="31" t="s">
        <v>818</v>
      </c>
      <c r="AI103" s="31" t="s">
        <v>155</v>
      </c>
      <c r="AJ103" s="31" t="s">
        <v>621</v>
      </c>
      <c r="AK103" s="31" t="s">
        <v>157</v>
      </c>
      <c r="AL103" s="31" t="s">
        <v>314</v>
      </c>
      <c r="AM103" s="31"/>
      <c r="AN103" s="31" t="s">
        <v>819</v>
      </c>
      <c r="AO103" s="31" t="s">
        <v>820</v>
      </c>
      <c r="AP103" s="31" t="s">
        <v>419</v>
      </c>
      <c r="AQ103" s="31" t="s">
        <v>536</v>
      </c>
      <c r="AR103" s="31">
        <v>16</v>
      </c>
      <c r="AS103" s="31">
        <v>26</v>
      </c>
      <c r="AT103" s="31">
        <v>4</v>
      </c>
      <c r="AU103" s="31">
        <v>38</v>
      </c>
      <c r="AV103" s="31">
        <v>700</v>
      </c>
      <c r="AW103" s="31">
        <v>1500</v>
      </c>
      <c r="AX103" s="31">
        <v>300</v>
      </c>
      <c r="AY103" s="31">
        <v>2700</v>
      </c>
      <c r="AZ103" s="31">
        <v>6</v>
      </c>
      <c r="BA103" s="31">
        <v>7</v>
      </c>
      <c r="BB103" s="31">
        <v>4.3</v>
      </c>
      <c r="BC103" s="31">
        <v>8.6</v>
      </c>
      <c r="BD103" s="31">
        <v>30</v>
      </c>
      <c r="BE103" s="31">
        <v>25</v>
      </c>
      <c r="BF103" s="31">
        <v>50</v>
      </c>
      <c r="BG103" s="31">
        <v>53</v>
      </c>
      <c r="BH103" s="31">
        <v>1200</v>
      </c>
      <c r="BI103" s="31" t="s">
        <v>163</v>
      </c>
      <c r="BJ103" s="31" t="s">
        <v>164</v>
      </c>
      <c r="BK103" s="31" t="s">
        <v>163</v>
      </c>
      <c r="BL103" s="31" t="s">
        <v>317</v>
      </c>
      <c r="BM103" s="31" t="s">
        <v>288</v>
      </c>
      <c r="BN103" s="31" t="s">
        <v>166</v>
      </c>
      <c r="BO103" s="31" t="s">
        <v>202</v>
      </c>
      <c r="BP103" s="31" t="s">
        <v>203</v>
      </c>
      <c r="BQ103" s="31" t="s">
        <v>170</v>
      </c>
      <c r="BR103" s="31" t="s">
        <v>230</v>
      </c>
      <c r="BS103" s="31"/>
      <c r="BT103" s="31"/>
      <c r="BU103" s="31" t="s">
        <v>171</v>
      </c>
      <c r="BV103" s="31" t="s">
        <v>231</v>
      </c>
      <c r="BW103" s="31" t="s">
        <v>172</v>
      </c>
      <c r="BX103" s="31" t="s">
        <v>290</v>
      </c>
      <c r="BY103" s="31">
        <v>-12</v>
      </c>
      <c r="BZ103" s="31">
        <v>-1</v>
      </c>
      <c r="CA103" s="31" t="s">
        <v>173</v>
      </c>
      <c r="CB103" s="31" t="s">
        <v>232</v>
      </c>
      <c r="CC103" s="31"/>
      <c r="CD103" s="31"/>
      <c r="CE103" s="31"/>
      <c r="CF103" s="31" t="s">
        <v>672</v>
      </c>
      <c r="CG103" s="31">
        <v>120</v>
      </c>
      <c r="CH103" s="31">
        <v>300</v>
      </c>
      <c r="CI103" s="19">
        <v>3</v>
      </c>
      <c r="CJ103" s="19">
        <v>10</v>
      </c>
      <c r="CK103" s="19">
        <v>4</v>
      </c>
      <c r="CL103" s="19">
        <v>10</v>
      </c>
      <c r="CM103" s="17" t="s">
        <v>821</v>
      </c>
      <c r="CN103" s="20">
        <v>3</v>
      </c>
      <c r="CO103" s="20">
        <v>20</v>
      </c>
      <c r="CP103" s="17" t="s">
        <v>822</v>
      </c>
      <c r="CQ103" s="17" t="s">
        <v>209</v>
      </c>
      <c r="CR103" s="21">
        <v>0</v>
      </c>
      <c r="CS103" s="21">
        <v>0</v>
      </c>
      <c r="CT103" s="21">
        <v>6</v>
      </c>
      <c r="CU103" s="21">
        <v>3</v>
      </c>
      <c r="CV103" s="21">
        <v>5</v>
      </c>
      <c r="CW103" s="21">
        <v>15</v>
      </c>
      <c r="CX103" s="21">
        <v>5</v>
      </c>
      <c r="CY103" s="21">
        <v>25</v>
      </c>
      <c r="CZ103" s="21">
        <v>8</v>
      </c>
      <c r="DA103" s="21">
        <v>0</v>
      </c>
      <c r="DB103" s="21">
        <v>0</v>
      </c>
      <c r="DC103" s="21">
        <v>60</v>
      </c>
      <c r="DD103" s="21">
        <v>20</v>
      </c>
      <c r="DE103" s="21">
        <v>35</v>
      </c>
      <c r="DF103" s="21">
        <v>120</v>
      </c>
      <c r="DG103" s="21">
        <v>35</v>
      </c>
      <c r="DH103" s="21">
        <v>400</v>
      </c>
      <c r="DI103" s="21">
        <v>80</v>
      </c>
      <c r="DJ103" s="17" t="s">
        <v>823</v>
      </c>
      <c r="DK103" s="17" t="s">
        <v>409</v>
      </c>
      <c r="DL103" s="22">
        <v>150</v>
      </c>
      <c r="DM103" s="17" t="s">
        <v>824</v>
      </c>
      <c r="DN103" s="25" t="s">
        <v>183</v>
      </c>
      <c r="DO103" s="25" t="s">
        <v>183</v>
      </c>
      <c r="DP103" s="25" t="s">
        <v>183</v>
      </c>
      <c r="DQ103" s="24" t="s">
        <v>182</v>
      </c>
      <c r="DR103" s="23"/>
      <c r="DS103" s="23"/>
      <c r="DT103" s="23"/>
      <c r="DU103" s="23"/>
      <c r="DV103" s="23"/>
      <c r="DW103" s="23"/>
      <c r="DX103" s="23"/>
      <c r="DY103" s="24" t="s">
        <v>182</v>
      </c>
      <c r="DZ103" s="17" t="s">
        <v>825</v>
      </c>
      <c r="EA103" s="17" t="s">
        <v>826</v>
      </c>
      <c r="EB103" s="52" t="s">
        <v>301</v>
      </c>
      <c r="EC103" s="17" t="s">
        <v>827</v>
      </c>
      <c r="ED103" s="27" t="s">
        <v>828</v>
      </c>
      <c r="EE103" s="22">
        <v>5</v>
      </c>
      <c r="EF103" s="55" t="s">
        <v>741</v>
      </c>
    </row>
    <row r="104" spans="1:136" ht="15" customHeight="1" x14ac:dyDescent="0.25">
      <c r="A104" s="16" t="s">
        <v>665</v>
      </c>
      <c r="B104" s="29" t="s">
        <v>409</v>
      </c>
      <c r="C104" s="29" t="s">
        <v>666</v>
      </c>
      <c r="D104" s="30">
        <v>20.8</v>
      </c>
      <c r="E104" s="30">
        <v>0.5</v>
      </c>
      <c r="F104" s="30">
        <v>0.2</v>
      </c>
      <c r="G104" s="30">
        <v>3.6</v>
      </c>
      <c r="H104" s="30">
        <v>1.4</v>
      </c>
      <c r="I104" s="30">
        <v>17</v>
      </c>
      <c r="J104" s="30">
        <v>0.3</v>
      </c>
      <c r="K104" s="30">
        <v>11</v>
      </c>
      <c r="L104" s="30">
        <v>18</v>
      </c>
      <c r="M104" s="30">
        <v>88</v>
      </c>
      <c r="N104" s="30">
        <v>8</v>
      </c>
      <c r="O104" s="30">
        <v>0.2</v>
      </c>
      <c r="P104" s="30"/>
      <c r="Q104" s="30"/>
      <c r="R104" s="30">
        <v>0.2</v>
      </c>
      <c r="S104" s="30">
        <v>8</v>
      </c>
      <c r="T104" s="30">
        <v>0.12</v>
      </c>
      <c r="U104" s="30">
        <v>14</v>
      </c>
      <c r="V104" s="30">
        <v>0.02</v>
      </c>
      <c r="W104" s="30">
        <v>0.02</v>
      </c>
      <c r="X104" s="30">
        <v>0.5</v>
      </c>
      <c r="Y104" s="30">
        <v>0.08</v>
      </c>
      <c r="Z104" s="30">
        <v>0</v>
      </c>
      <c r="AA104" s="30">
        <v>93</v>
      </c>
      <c r="AB104" s="31">
        <v>1930</v>
      </c>
      <c r="AC104" s="31" t="s">
        <v>667</v>
      </c>
      <c r="AD104" s="31"/>
      <c r="AE104" s="31" t="s">
        <v>501</v>
      </c>
      <c r="AF104" s="31"/>
      <c r="AG104" s="31" t="s">
        <v>668</v>
      </c>
      <c r="AH104" s="31" t="s">
        <v>669</v>
      </c>
      <c r="AI104" s="31" t="s">
        <v>155</v>
      </c>
      <c r="AJ104" s="31" t="s">
        <v>670</v>
      </c>
      <c r="AK104" s="31" t="s">
        <v>505</v>
      </c>
      <c r="AL104" s="31" t="s">
        <v>671</v>
      </c>
      <c r="AM104" s="31" t="s">
        <v>283</v>
      </c>
      <c r="AN104" s="31"/>
      <c r="AO104" s="31" t="s">
        <v>228</v>
      </c>
      <c r="AP104" s="31" t="s">
        <v>161</v>
      </c>
      <c r="AQ104" s="31" t="s">
        <v>362</v>
      </c>
      <c r="AR104" s="31">
        <v>19</v>
      </c>
      <c r="AS104" s="31">
        <v>30</v>
      </c>
      <c r="AT104" s="31">
        <v>12</v>
      </c>
      <c r="AU104" s="31">
        <v>40</v>
      </c>
      <c r="AV104" s="31">
        <v>800</v>
      </c>
      <c r="AW104" s="31">
        <v>2000</v>
      </c>
      <c r="AX104" s="31">
        <v>600</v>
      </c>
      <c r="AY104" s="31">
        <v>2600</v>
      </c>
      <c r="AZ104" s="31">
        <v>5.5</v>
      </c>
      <c r="BA104" s="31">
        <v>7</v>
      </c>
      <c r="BB104" s="31">
        <v>4.3</v>
      </c>
      <c r="BC104" s="31">
        <v>8</v>
      </c>
      <c r="BD104" s="31">
        <v>15</v>
      </c>
      <c r="BE104" s="31"/>
      <c r="BF104" s="31">
        <v>25</v>
      </c>
      <c r="BG104" s="31">
        <v>30</v>
      </c>
      <c r="BH104" s="31">
        <v>2000</v>
      </c>
      <c r="BI104" s="31" t="s">
        <v>163</v>
      </c>
      <c r="BJ104" s="31" t="s">
        <v>317</v>
      </c>
      <c r="BK104" s="31" t="s">
        <v>163</v>
      </c>
      <c r="BL104" s="31" t="s">
        <v>317</v>
      </c>
      <c r="BM104" s="31" t="s">
        <v>201</v>
      </c>
      <c r="BN104" s="31" t="s">
        <v>201</v>
      </c>
      <c r="BO104" s="31" t="s">
        <v>167</v>
      </c>
      <c r="BP104" s="31" t="s">
        <v>203</v>
      </c>
      <c r="BQ104" s="31" t="s">
        <v>169</v>
      </c>
      <c r="BR104" s="31" t="s">
        <v>170</v>
      </c>
      <c r="BS104" s="31"/>
      <c r="BT104" s="31"/>
      <c r="BU104" s="31" t="s">
        <v>171</v>
      </c>
      <c r="BV104" s="31" t="s">
        <v>231</v>
      </c>
      <c r="BW104" s="31" t="s">
        <v>172</v>
      </c>
      <c r="BX104" s="31" t="s">
        <v>172</v>
      </c>
      <c r="BY104" s="31"/>
      <c r="BZ104" s="31"/>
      <c r="CA104" s="31" t="s">
        <v>508</v>
      </c>
      <c r="CB104" s="31" t="s">
        <v>232</v>
      </c>
      <c r="CC104" s="31"/>
      <c r="CD104" s="31"/>
      <c r="CE104" s="31"/>
      <c r="CF104" s="31" t="s">
        <v>672</v>
      </c>
      <c r="CG104" s="31">
        <v>100</v>
      </c>
      <c r="CH104" s="31">
        <v>180</v>
      </c>
      <c r="CI104" s="19">
        <v>4</v>
      </c>
      <c r="CJ104" s="19">
        <v>6</v>
      </c>
      <c r="CK104" s="19">
        <v>3</v>
      </c>
      <c r="CL104" s="19">
        <v>8</v>
      </c>
      <c r="CM104" s="17" t="s">
        <v>673</v>
      </c>
      <c r="CN104" s="20">
        <v>20</v>
      </c>
      <c r="CO104" s="20">
        <v>60</v>
      </c>
      <c r="CP104" s="17" t="s">
        <v>674</v>
      </c>
      <c r="CQ104" s="17" t="s">
        <v>511</v>
      </c>
      <c r="CR104" s="21">
        <v>4</v>
      </c>
      <c r="CS104" s="21">
        <v>3</v>
      </c>
      <c r="CT104" s="21">
        <v>5</v>
      </c>
      <c r="CU104" s="21">
        <v>3</v>
      </c>
      <c r="CV104" s="21">
        <v>3</v>
      </c>
      <c r="CW104" s="21">
        <v>5</v>
      </c>
      <c r="CX104" s="21">
        <v>4</v>
      </c>
      <c r="CY104" s="21">
        <v>15</v>
      </c>
      <c r="CZ104" s="21">
        <v>5</v>
      </c>
      <c r="DA104" s="21">
        <v>120</v>
      </c>
      <c r="DB104" s="21">
        <v>80</v>
      </c>
      <c r="DC104" s="21">
        <v>150</v>
      </c>
      <c r="DD104" s="21">
        <v>25</v>
      </c>
      <c r="DE104" s="21">
        <v>25</v>
      </c>
      <c r="DF104" s="21">
        <v>60</v>
      </c>
      <c r="DG104" s="21">
        <v>40</v>
      </c>
      <c r="DH104" s="21">
        <v>400</v>
      </c>
      <c r="DI104" s="21">
        <v>80</v>
      </c>
      <c r="DJ104" s="17" t="s">
        <v>675</v>
      </c>
      <c r="DK104" s="17" t="s">
        <v>180</v>
      </c>
      <c r="DL104" s="22">
        <v>75</v>
      </c>
      <c r="DM104" s="17" t="s">
        <v>676</v>
      </c>
      <c r="DN104" s="23"/>
      <c r="DO104" s="24" t="s">
        <v>182</v>
      </c>
      <c r="DP104" s="25" t="s">
        <v>183</v>
      </c>
      <c r="DQ104" s="25" t="s">
        <v>183</v>
      </c>
      <c r="DR104" s="25" t="s">
        <v>183</v>
      </c>
      <c r="DS104" s="24" t="s">
        <v>182</v>
      </c>
      <c r="DT104" s="23"/>
      <c r="DU104" s="23"/>
      <c r="DV104" s="23"/>
      <c r="DW104" s="23"/>
      <c r="DX104" s="23"/>
      <c r="DY104" s="23"/>
      <c r="DZ104" s="17" t="s">
        <v>677</v>
      </c>
      <c r="EA104" s="17" t="s">
        <v>678</v>
      </c>
      <c r="EB104" s="26" t="s">
        <v>186</v>
      </c>
      <c r="EC104" s="17" t="s">
        <v>679</v>
      </c>
      <c r="ED104" s="27" t="s">
        <v>327</v>
      </c>
      <c r="EE104" s="22">
        <v>2</v>
      </c>
      <c r="EF104" s="49" t="s">
        <v>327</v>
      </c>
    </row>
    <row r="105" spans="1:136" ht="15" customHeight="1" x14ac:dyDescent="0.25">
      <c r="A105" s="16" t="s">
        <v>905</v>
      </c>
      <c r="B105" s="29" t="s">
        <v>409</v>
      </c>
      <c r="C105" s="29" t="s">
        <v>906</v>
      </c>
      <c r="D105" s="30">
        <v>58.3</v>
      </c>
      <c r="E105" s="30">
        <v>1.2</v>
      </c>
      <c r="F105" s="30">
        <v>0.5</v>
      </c>
      <c r="G105" s="30">
        <v>11.1</v>
      </c>
      <c r="H105" s="30">
        <v>1.8</v>
      </c>
      <c r="I105" s="30">
        <v>18</v>
      </c>
      <c r="J105" s="30">
        <v>0.21</v>
      </c>
      <c r="K105" s="30">
        <v>14</v>
      </c>
      <c r="L105" s="30">
        <v>26</v>
      </c>
      <c r="M105" s="30">
        <v>306</v>
      </c>
      <c r="N105" s="30">
        <v>3</v>
      </c>
      <c r="O105" s="30">
        <v>0.11</v>
      </c>
      <c r="P105" s="30">
        <v>0.11</v>
      </c>
      <c r="Q105" s="30">
        <v>0.05</v>
      </c>
      <c r="R105" s="30">
        <v>0.2</v>
      </c>
      <c r="S105" s="30">
        <v>8</v>
      </c>
      <c r="T105" s="30">
        <v>0.98</v>
      </c>
      <c r="U105" s="30">
        <v>110</v>
      </c>
      <c r="V105" s="30">
        <v>0.02</v>
      </c>
      <c r="W105" s="30">
        <v>0.05</v>
      </c>
      <c r="X105" s="30">
        <v>0.28000000000000003</v>
      </c>
      <c r="Y105" s="30">
        <v>0.05</v>
      </c>
      <c r="Z105" s="30">
        <v>0</v>
      </c>
      <c r="AA105" s="30">
        <v>39</v>
      </c>
      <c r="AB105" s="31">
        <v>889</v>
      </c>
      <c r="AC105" s="31" t="s">
        <v>907</v>
      </c>
      <c r="AD105" s="31"/>
      <c r="AE105" s="31" t="s">
        <v>908</v>
      </c>
      <c r="AF105" s="31"/>
      <c r="AG105" s="31" t="s">
        <v>909</v>
      </c>
      <c r="AH105" s="31" t="s">
        <v>910</v>
      </c>
      <c r="AI105" s="31" t="s">
        <v>226</v>
      </c>
      <c r="AJ105" s="31" t="s">
        <v>848</v>
      </c>
      <c r="AK105" s="31" t="s">
        <v>505</v>
      </c>
      <c r="AL105" s="31" t="s">
        <v>314</v>
      </c>
      <c r="AM105" s="31"/>
      <c r="AN105" s="31" t="s">
        <v>417</v>
      </c>
      <c r="AO105" s="31" t="s">
        <v>419</v>
      </c>
      <c r="AP105" s="31" t="s">
        <v>419</v>
      </c>
      <c r="AQ105" s="31" t="s">
        <v>162</v>
      </c>
      <c r="AR105" s="31">
        <v>21</v>
      </c>
      <c r="AS105" s="31">
        <v>30</v>
      </c>
      <c r="AT105" s="31">
        <v>8</v>
      </c>
      <c r="AU105" s="31">
        <v>35</v>
      </c>
      <c r="AV105" s="31">
        <v>900</v>
      </c>
      <c r="AW105" s="31">
        <v>1300</v>
      </c>
      <c r="AX105" s="31">
        <v>700</v>
      </c>
      <c r="AY105" s="31">
        <v>1500</v>
      </c>
      <c r="AZ105" s="31">
        <v>6</v>
      </c>
      <c r="BA105" s="31">
        <v>7</v>
      </c>
      <c r="BB105" s="31">
        <v>5.5</v>
      </c>
      <c r="BC105" s="31">
        <v>7.5</v>
      </c>
      <c r="BD105" s="31">
        <v>25</v>
      </c>
      <c r="BE105" s="31">
        <v>25</v>
      </c>
      <c r="BF105" s="31">
        <v>45</v>
      </c>
      <c r="BG105" s="31">
        <v>45</v>
      </c>
      <c r="BH105" s="31">
        <v>1500</v>
      </c>
      <c r="BI105" s="31" t="s">
        <v>163</v>
      </c>
      <c r="BJ105" s="31" t="s">
        <v>163</v>
      </c>
      <c r="BK105" s="31" t="s">
        <v>163</v>
      </c>
      <c r="BL105" s="31" t="s">
        <v>164</v>
      </c>
      <c r="BM105" s="31" t="s">
        <v>288</v>
      </c>
      <c r="BN105" s="31" t="s">
        <v>166</v>
      </c>
      <c r="BO105" s="31" t="s">
        <v>486</v>
      </c>
      <c r="BP105" s="31" t="s">
        <v>250</v>
      </c>
      <c r="BQ105" s="31" t="s">
        <v>169</v>
      </c>
      <c r="BR105" s="31" t="s">
        <v>170</v>
      </c>
      <c r="BS105" s="31"/>
      <c r="BT105" s="31"/>
      <c r="BU105" s="31" t="s">
        <v>171</v>
      </c>
      <c r="BV105" s="31" t="s">
        <v>171</v>
      </c>
      <c r="BW105" s="31" t="s">
        <v>172</v>
      </c>
      <c r="BX105" s="31" t="s">
        <v>172</v>
      </c>
      <c r="BY105" s="31">
        <v>-9</v>
      </c>
      <c r="BZ105" s="31">
        <v>-1</v>
      </c>
      <c r="CA105" s="31" t="s">
        <v>173</v>
      </c>
      <c r="CB105" s="31" t="s">
        <v>420</v>
      </c>
      <c r="CC105" s="31"/>
      <c r="CD105" s="31"/>
      <c r="CE105" s="31"/>
      <c r="CF105" s="31"/>
      <c r="CG105" s="31">
        <v>210</v>
      </c>
      <c r="CH105" s="31">
        <v>330</v>
      </c>
      <c r="CI105" s="19">
        <v>0.3</v>
      </c>
      <c r="CJ105" s="19">
        <v>0.5</v>
      </c>
      <c r="CK105" s="19">
        <v>3</v>
      </c>
      <c r="CL105" s="19">
        <v>6</v>
      </c>
      <c r="CM105" s="17" t="s">
        <v>911</v>
      </c>
      <c r="CN105" s="20">
        <v>10</v>
      </c>
      <c r="CO105" s="20">
        <v>35</v>
      </c>
      <c r="CP105" s="17" t="s">
        <v>912</v>
      </c>
      <c r="CQ105" s="17" t="s">
        <v>209</v>
      </c>
      <c r="CR105" s="21">
        <v>0</v>
      </c>
      <c r="CS105" s="21">
        <v>0</v>
      </c>
      <c r="CT105" s="21">
        <v>6</v>
      </c>
      <c r="CU105" s="21">
        <v>4</v>
      </c>
      <c r="CV105" s="21">
        <v>6</v>
      </c>
      <c r="CW105" s="21">
        <v>30</v>
      </c>
      <c r="CX105" s="21">
        <v>5</v>
      </c>
      <c r="CY105" s="21">
        <v>35</v>
      </c>
      <c r="CZ105" s="21">
        <v>10</v>
      </c>
      <c r="DA105" s="21">
        <v>0</v>
      </c>
      <c r="DB105" s="21">
        <v>0</v>
      </c>
      <c r="DC105" s="21">
        <v>50</v>
      </c>
      <c r="DD105" s="21">
        <v>25</v>
      </c>
      <c r="DE105" s="21">
        <v>40</v>
      </c>
      <c r="DF105" s="21">
        <v>200</v>
      </c>
      <c r="DG105" s="21">
        <v>35</v>
      </c>
      <c r="DH105" s="21">
        <v>500</v>
      </c>
      <c r="DI105" s="21">
        <v>100</v>
      </c>
      <c r="DJ105" s="17" t="s">
        <v>913</v>
      </c>
      <c r="DK105" s="17" t="s">
        <v>409</v>
      </c>
      <c r="DL105" s="22">
        <v>150</v>
      </c>
      <c r="DM105" s="17" t="s">
        <v>914</v>
      </c>
      <c r="DN105" s="23"/>
      <c r="DO105" s="23"/>
      <c r="DP105" s="24" t="s">
        <v>182</v>
      </c>
      <c r="DQ105" s="25" t="s">
        <v>183</v>
      </c>
      <c r="DR105" s="25" t="s">
        <v>183</v>
      </c>
      <c r="DS105" s="25" t="s">
        <v>183</v>
      </c>
      <c r="DT105" s="24" t="s">
        <v>182</v>
      </c>
      <c r="DU105" s="23"/>
      <c r="DV105" s="23"/>
      <c r="DW105" s="23"/>
      <c r="DX105" s="23"/>
      <c r="DY105" s="23"/>
      <c r="DZ105" s="17" t="s">
        <v>915</v>
      </c>
      <c r="EA105" s="17" t="s">
        <v>916</v>
      </c>
      <c r="EB105" s="26" t="s">
        <v>186</v>
      </c>
      <c r="EC105" s="17" t="s">
        <v>917</v>
      </c>
      <c r="ED105" s="27" t="s">
        <v>274</v>
      </c>
      <c r="EE105" s="22">
        <v>2</v>
      </c>
      <c r="EF105" s="28" t="s">
        <v>275</v>
      </c>
    </row>
    <row r="106" spans="1:136" ht="15" customHeight="1" x14ac:dyDescent="0.25">
      <c r="A106" s="16" t="s">
        <v>796</v>
      </c>
      <c r="B106" s="17" t="s">
        <v>409</v>
      </c>
      <c r="C106" s="17" t="s">
        <v>797</v>
      </c>
      <c r="D106" s="18">
        <v>42.1</v>
      </c>
      <c r="E106" s="18">
        <v>0.6</v>
      </c>
      <c r="F106" s="18">
        <v>0.4</v>
      </c>
      <c r="G106" s="18">
        <v>8</v>
      </c>
      <c r="H106" s="18">
        <v>3</v>
      </c>
      <c r="I106" s="18">
        <v>6</v>
      </c>
      <c r="J106" s="18">
        <v>0.11</v>
      </c>
      <c r="K106" s="18">
        <v>7</v>
      </c>
      <c r="L106" s="18">
        <v>14</v>
      </c>
      <c r="M106" s="18">
        <v>124</v>
      </c>
      <c r="N106" s="18">
        <v>2</v>
      </c>
      <c r="O106" s="18">
        <v>0.06</v>
      </c>
      <c r="P106" s="18"/>
      <c r="Q106" s="18"/>
      <c r="R106" s="18">
        <v>0.2</v>
      </c>
      <c r="S106" s="18">
        <v>5</v>
      </c>
      <c r="T106" s="18">
        <v>0.18</v>
      </c>
      <c r="U106" s="18">
        <v>30</v>
      </c>
      <c r="V106" s="18">
        <v>0</v>
      </c>
      <c r="W106" s="18">
        <v>0.01</v>
      </c>
      <c r="X106" s="18">
        <v>0.28999999999999998</v>
      </c>
      <c r="Y106" s="18">
        <v>0.05</v>
      </c>
      <c r="Z106" s="18">
        <v>0</v>
      </c>
      <c r="AA106" s="18">
        <v>0</v>
      </c>
      <c r="AB106" s="18">
        <v>1068</v>
      </c>
      <c r="AC106" s="18" t="s">
        <v>798</v>
      </c>
      <c r="AD106" s="18" t="s">
        <v>799</v>
      </c>
      <c r="AE106" s="18"/>
      <c r="AF106" s="18" t="s">
        <v>800</v>
      </c>
      <c r="AG106" s="18" t="s">
        <v>801</v>
      </c>
      <c r="AH106" s="18" t="s">
        <v>802</v>
      </c>
      <c r="AI106" s="18" t="s">
        <v>155</v>
      </c>
      <c r="AJ106" s="18" t="s">
        <v>621</v>
      </c>
      <c r="AK106" s="18" t="s">
        <v>157</v>
      </c>
      <c r="AL106" s="18" t="s">
        <v>314</v>
      </c>
      <c r="AM106" s="18"/>
      <c r="AN106" s="18" t="s">
        <v>718</v>
      </c>
      <c r="AO106" s="18" t="s">
        <v>803</v>
      </c>
      <c r="AP106" s="18" t="s">
        <v>419</v>
      </c>
      <c r="AQ106" s="18" t="s">
        <v>362</v>
      </c>
      <c r="AR106" s="18">
        <v>20</v>
      </c>
      <c r="AS106" s="18">
        <v>28</v>
      </c>
      <c r="AT106" s="18">
        <v>12</v>
      </c>
      <c r="AU106" s="18">
        <v>32</v>
      </c>
      <c r="AV106" s="18">
        <v>600</v>
      </c>
      <c r="AW106" s="18">
        <v>1500</v>
      </c>
      <c r="AX106" s="18">
        <v>300</v>
      </c>
      <c r="AY106" s="18">
        <v>2000</v>
      </c>
      <c r="AZ106" s="18">
        <v>5.5</v>
      </c>
      <c r="BA106" s="18">
        <v>7</v>
      </c>
      <c r="BB106" s="18">
        <v>5</v>
      </c>
      <c r="BC106" s="18">
        <v>8.3000000000000007</v>
      </c>
      <c r="BD106" s="18">
        <v>26</v>
      </c>
      <c r="BE106" s="18">
        <v>24</v>
      </c>
      <c r="BF106" s="18">
        <v>35</v>
      </c>
      <c r="BG106" s="18">
        <v>50</v>
      </c>
      <c r="BH106" s="18">
        <v>1500</v>
      </c>
      <c r="BI106" s="18" t="s">
        <v>163</v>
      </c>
      <c r="BJ106" s="18" t="s">
        <v>164</v>
      </c>
      <c r="BK106" s="18" t="s">
        <v>163</v>
      </c>
      <c r="BL106" s="18" t="s">
        <v>317</v>
      </c>
      <c r="BM106" s="18" t="s">
        <v>166</v>
      </c>
      <c r="BN106" s="18" t="s">
        <v>201</v>
      </c>
      <c r="BO106" s="18" t="s">
        <v>250</v>
      </c>
      <c r="BP106" s="18" t="s">
        <v>567</v>
      </c>
      <c r="BQ106" s="18" t="s">
        <v>170</v>
      </c>
      <c r="BR106" s="18" t="s">
        <v>170</v>
      </c>
      <c r="BS106" s="18"/>
      <c r="BT106" s="18"/>
      <c r="BU106" s="18" t="s">
        <v>171</v>
      </c>
      <c r="BV106" s="18" t="s">
        <v>171</v>
      </c>
      <c r="BW106" s="18" t="s">
        <v>172</v>
      </c>
      <c r="BX106" s="18" t="s">
        <v>290</v>
      </c>
      <c r="BY106" s="18">
        <v>-10</v>
      </c>
      <c r="BZ106" s="18">
        <v>-1</v>
      </c>
      <c r="CA106" s="18" t="s">
        <v>173</v>
      </c>
      <c r="CB106" s="18" t="s">
        <v>804</v>
      </c>
      <c r="CC106" s="18" t="s">
        <v>805</v>
      </c>
      <c r="CD106" s="18"/>
      <c r="CE106" s="18"/>
      <c r="CF106" s="18"/>
      <c r="CG106" s="18">
        <v>120</v>
      </c>
      <c r="CH106" s="18">
        <v>270</v>
      </c>
      <c r="CI106" s="32">
        <v>2</v>
      </c>
      <c r="CJ106" s="32">
        <v>5</v>
      </c>
      <c r="CK106" s="32">
        <v>2</v>
      </c>
      <c r="CL106" s="32">
        <v>5</v>
      </c>
      <c r="CM106" s="33" t="s">
        <v>806</v>
      </c>
      <c r="CN106" s="34">
        <v>5</v>
      </c>
      <c r="CO106" s="34">
        <v>30</v>
      </c>
      <c r="CP106" s="35" t="s">
        <v>807</v>
      </c>
      <c r="CQ106" s="35" t="s">
        <v>808</v>
      </c>
      <c r="CR106" s="36">
        <v>0</v>
      </c>
      <c r="CS106" s="36">
        <v>0</v>
      </c>
      <c r="CT106" s="36">
        <v>5</v>
      </c>
      <c r="CU106" s="36">
        <v>3</v>
      </c>
      <c r="CV106" s="36">
        <v>4</v>
      </c>
      <c r="CW106" s="36">
        <v>10</v>
      </c>
      <c r="CX106" s="36">
        <v>4</v>
      </c>
      <c r="CY106" s="36">
        <v>20</v>
      </c>
      <c r="CZ106" s="36">
        <v>6</v>
      </c>
      <c r="DA106" s="37">
        <v>0</v>
      </c>
      <c r="DB106" s="37">
        <v>0</v>
      </c>
      <c r="DC106" s="37">
        <v>40</v>
      </c>
      <c r="DD106" s="37">
        <v>20</v>
      </c>
      <c r="DE106" s="37">
        <v>30</v>
      </c>
      <c r="DF106" s="37">
        <v>80</v>
      </c>
      <c r="DG106" s="37">
        <v>30</v>
      </c>
      <c r="DH106" s="37">
        <v>350</v>
      </c>
      <c r="DI106" s="37">
        <v>80</v>
      </c>
      <c r="DJ106" s="38" t="s">
        <v>809</v>
      </c>
      <c r="DK106" s="39" t="s">
        <v>409</v>
      </c>
      <c r="DL106" s="40">
        <v>150</v>
      </c>
      <c r="DM106" s="39" t="s">
        <v>810</v>
      </c>
      <c r="DN106" s="41"/>
      <c r="DO106" s="41"/>
      <c r="DP106" s="24" t="s">
        <v>182</v>
      </c>
      <c r="DQ106" s="25" t="s">
        <v>183</v>
      </c>
      <c r="DR106" s="25" t="s">
        <v>183</v>
      </c>
      <c r="DS106" s="25" t="s">
        <v>183</v>
      </c>
      <c r="DT106" s="24" t="s">
        <v>182</v>
      </c>
      <c r="DU106" s="41"/>
      <c r="DV106" s="41"/>
      <c r="DW106" s="41"/>
      <c r="DX106" s="41"/>
      <c r="DY106" s="41"/>
      <c r="DZ106" s="42" t="s">
        <v>811</v>
      </c>
      <c r="EA106" s="42" t="s">
        <v>812</v>
      </c>
      <c r="EB106" s="43" t="s">
        <v>214</v>
      </c>
      <c r="EC106" s="44" t="s">
        <v>813</v>
      </c>
      <c r="ED106" s="45" t="s">
        <v>575</v>
      </c>
      <c r="EE106" s="46">
        <v>4</v>
      </c>
      <c r="EF106" s="47" t="s">
        <v>392</v>
      </c>
    </row>
    <row r="107" spans="1:136" ht="15" customHeight="1" x14ac:dyDescent="0.25">
      <c r="A107" s="16" t="s">
        <v>498</v>
      </c>
      <c r="B107" s="17" t="s">
        <v>409</v>
      </c>
      <c r="C107" s="17" t="s">
        <v>499</v>
      </c>
      <c r="D107" s="18">
        <v>17</v>
      </c>
      <c r="E107" s="18">
        <v>1</v>
      </c>
      <c r="F107" s="18">
        <v>3.7</v>
      </c>
      <c r="G107" s="18">
        <v>2.8</v>
      </c>
      <c r="H107" s="18">
        <v>0.17</v>
      </c>
      <c r="I107" s="18">
        <v>19</v>
      </c>
      <c r="J107" s="18">
        <v>0.43</v>
      </c>
      <c r="K107" s="18">
        <v>17</v>
      </c>
      <c r="L107" s="18">
        <v>31</v>
      </c>
      <c r="M107" s="18">
        <v>296</v>
      </c>
      <c r="N107" s="18">
        <v>5</v>
      </c>
      <c r="O107" s="18">
        <v>0.8</v>
      </c>
      <c r="P107" s="18">
        <v>3.4000000000000002E-2</v>
      </c>
      <c r="Q107" s="18">
        <v>8.8999999999999996E-2</v>
      </c>
      <c r="R107" s="18">
        <v>0.2</v>
      </c>
      <c r="S107" s="18">
        <v>471</v>
      </c>
      <c r="T107" s="18">
        <v>0</v>
      </c>
      <c r="U107" s="18">
        <v>84</v>
      </c>
      <c r="V107" s="18">
        <v>0.04</v>
      </c>
      <c r="W107" s="18">
        <v>0.04</v>
      </c>
      <c r="X107" s="18">
        <v>0.4</v>
      </c>
      <c r="Y107" s="18">
        <v>4.2999999999999997E-2</v>
      </c>
      <c r="Z107" s="18">
        <v>0</v>
      </c>
      <c r="AA107" s="18">
        <v>72</v>
      </c>
      <c r="AB107" s="18">
        <v>7795</v>
      </c>
      <c r="AC107" s="18" t="s">
        <v>500</v>
      </c>
      <c r="AD107" s="18" t="s">
        <v>221</v>
      </c>
      <c r="AE107" s="18" t="s">
        <v>501</v>
      </c>
      <c r="AF107" s="18">
        <v>0</v>
      </c>
      <c r="AG107" s="18" t="s">
        <v>502</v>
      </c>
      <c r="AH107" s="18" t="s">
        <v>503</v>
      </c>
      <c r="AI107" s="18" t="s">
        <v>226</v>
      </c>
      <c r="AJ107" s="18" t="s">
        <v>504</v>
      </c>
      <c r="AK107" s="18" t="s">
        <v>505</v>
      </c>
      <c r="AL107" s="18" t="s">
        <v>282</v>
      </c>
      <c r="AM107" s="18" t="s">
        <v>283</v>
      </c>
      <c r="AN107" s="18" t="s">
        <v>506</v>
      </c>
      <c r="AO107" s="18" t="s">
        <v>507</v>
      </c>
      <c r="AP107" s="18" t="s">
        <v>419</v>
      </c>
      <c r="AQ107" s="18" t="s">
        <v>362</v>
      </c>
      <c r="AR107" s="18">
        <v>22</v>
      </c>
      <c r="AS107" s="18">
        <v>30</v>
      </c>
      <c r="AT107" s="18">
        <v>15</v>
      </c>
      <c r="AU107" s="18">
        <v>38</v>
      </c>
      <c r="AV107" s="18">
        <v>2000</v>
      </c>
      <c r="AW107" s="18">
        <v>2500</v>
      </c>
      <c r="AX107" s="18">
        <v>1000</v>
      </c>
      <c r="AY107" s="18">
        <v>4000</v>
      </c>
      <c r="AZ107" s="18">
        <v>6</v>
      </c>
      <c r="BA107" s="18">
        <v>6.5</v>
      </c>
      <c r="BB107" s="18">
        <v>4.5</v>
      </c>
      <c r="BC107" s="18">
        <v>8</v>
      </c>
      <c r="BD107" s="18">
        <v>0</v>
      </c>
      <c r="BE107" s="18">
        <v>0</v>
      </c>
      <c r="BF107" s="18">
        <v>0</v>
      </c>
      <c r="BG107" s="18">
        <v>0</v>
      </c>
      <c r="BH107" s="18">
        <v>1000</v>
      </c>
      <c r="BI107" s="18" t="s">
        <v>164</v>
      </c>
      <c r="BJ107" s="18" t="s">
        <v>164</v>
      </c>
      <c r="BK107" s="18" t="s">
        <v>163</v>
      </c>
      <c r="BL107" s="18" t="s">
        <v>165</v>
      </c>
      <c r="BM107" s="18" t="s">
        <v>166</v>
      </c>
      <c r="BN107" s="18" t="s">
        <v>201</v>
      </c>
      <c r="BO107" s="51" t="s">
        <v>167</v>
      </c>
      <c r="BP107" s="51" t="s">
        <v>168</v>
      </c>
      <c r="BQ107" s="51" t="s">
        <v>170</v>
      </c>
      <c r="BR107" s="51" t="s">
        <v>170</v>
      </c>
      <c r="BS107" s="51">
        <v>0</v>
      </c>
      <c r="BT107" s="51">
        <v>0</v>
      </c>
      <c r="BU107" s="51" t="s">
        <v>171</v>
      </c>
      <c r="BV107" s="51" t="s">
        <v>171</v>
      </c>
      <c r="BW107" s="51" t="s">
        <v>172</v>
      </c>
      <c r="BX107" s="51" t="s">
        <v>172</v>
      </c>
      <c r="BY107" s="51">
        <v>3</v>
      </c>
      <c r="BZ107" s="51">
        <v>3</v>
      </c>
      <c r="CA107" s="51" t="s">
        <v>508</v>
      </c>
      <c r="CB107" s="51" t="s">
        <v>251</v>
      </c>
      <c r="CC107" s="51">
        <v>0</v>
      </c>
      <c r="CD107" s="51">
        <v>0</v>
      </c>
      <c r="CE107" s="51">
        <v>0</v>
      </c>
      <c r="CF107" s="51">
        <v>0</v>
      </c>
      <c r="CG107" s="51">
        <v>50</v>
      </c>
      <c r="CH107" s="51">
        <v>70</v>
      </c>
      <c r="CI107" s="32">
        <v>0.3</v>
      </c>
      <c r="CJ107" s="32">
        <v>0.5</v>
      </c>
      <c r="CK107" s="32">
        <v>3</v>
      </c>
      <c r="CL107" s="32">
        <v>5</v>
      </c>
      <c r="CM107" s="33" t="s">
        <v>509</v>
      </c>
      <c r="CN107" s="34">
        <v>5</v>
      </c>
      <c r="CO107" s="34">
        <v>30</v>
      </c>
      <c r="CP107" s="35" t="s">
        <v>510</v>
      </c>
      <c r="CQ107" s="35" t="s">
        <v>511</v>
      </c>
      <c r="CR107" s="36">
        <v>5</v>
      </c>
      <c r="CS107" s="36">
        <v>5</v>
      </c>
      <c r="CT107" s="36">
        <v>8</v>
      </c>
      <c r="CU107" s="36">
        <v>3</v>
      </c>
      <c r="CV107" s="36">
        <v>5</v>
      </c>
      <c r="CW107" s="36">
        <v>8</v>
      </c>
      <c r="CX107" s="36">
        <v>5</v>
      </c>
      <c r="CY107" s="36">
        <v>20</v>
      </c>
      <c r="CZ107" s="36">
        <v>6</v>
      </c>
      <c r="DA107" s="37">
        <v>130</v>
      </c>
      <c r="DB107" s="37">
        <v>120</v>
      </c>
      <c r="DC107" s="37">
        <v>250</v>
      </c>
      <c r="DD107" s="37">
        <v>25</v>
      </c>
      <c r="DE107" s="37">
        <v>40</v>
      </c>
      <c r="DF107" s="37">
        <v>100</v>
      </c>
      <c r="DG107" s="37">
        <v>50</v>
      </c>
      <c r="DH107" s="37">
        <v>450</v>
      </c>
      <c r="DI107" s="37">
        <v>100</v>
      </c>
      <c r="DJ107" s="38" t="s">
        <v>512</v>
      </c>
      <c r="DK107" s="39" t="s">
        <v>180</v>
      </c>
      <c r="DL107" s="40">
        <v>75</v>
      </c>
      <c r="DM107" s="39" t="s">
        <v>513</v>
      </c>
      <c r="DN107" s="25" t="s">
        <v>183</v>
      </c>
      <c r="DO107" s="25" t="s">
        <v>183</v>
      </c>
      <c r="DP107" s="25" t="s">
        <v>183</v>
      </c>
      <c r="DQ107" s="24" t="s">
        <v>182</v>
      </c>
      <c r="DR107" s="41"/>
      <c r="DS107" s="41"/>
      <c r="DT107" s="41"/>
      <c r="DU107" s="41"/>
      <c r="DV107" s="41"/>
      <c r="DW107" s="41"/>
      <c r="DX107" s="24" t="s">
        <v>182</v>
      </c>
      <c r="DY107" s="25" t="s">
        <v>183</v>
      </c>
      <c r="DZ107" s="42" t="s">
        <v>514</v>
      </c>
      <c r="EA107" s="42" t="s">
        <v>515</v>
      </c>
      <c r="EB107" s="43" t="s">
        <v>214</v>
      </c>
      <c r="EC107" s="44" t="s">
        <v>516</v>
      </c>
      <c r="ED107" s="45" t="s">
        <v>216</v>
      </c>
      <c r="EE107" s="46">
        <v>3</v>
      </c>
      <c r="EF107" s="47" t="s">
        <v>304</v>
      </c>
    </row>
    <row r="108" spans="1:136" ht="15" customHeight="1" x14ac:dyDescent="0.25">
      <c r="A108" s="16" t="s">
        <v>498</v>
      </c>
      <c r="B108" s="17" t="s">
        <v>1700</v>
      </c>
      <c r="C108" s="17" t="s">
        <v>499</v>
      </c>
      <c r="D108" s="18">
        <v>17</v>
      </c>
      <c r="E108" s="18">
        <v>1</v>
      </c>
      <c r="F108" s="18">
        <v>3.7</v>
      </c>
      <c r="G108" s="18">
        <v>2.8</v>
      </c>
      <c r="H108" s="18">
        <v>0.17</v>
      </c>
      <c r="I108" s="18">
        <v>19</v>
      </c>
      <c r="J108" s="18">
        <v>0.43</v>
      </c>
      <c r="K108" s="18">
        <v>17</v>
      </c>
      <c r="L108" s="18">
        <v>31</v>
      </c>
      <c r="M108" s="18">
        <v>296</v>
      </c>
      <c r="N108" s="18">
        <v>5</v>
      </c>
      <c r="O108" s="18">
        <v>0.8</v>
      </c>
      <c r="P108" s="18">
        <v>3.4000000000000002E-2</v>
      </c>
      <c r="Q108" s="18">
        <v>8.8999999999999996E-2</v>
      </c>
      <c r="R108" s="18">
        <v>0.2</v>
      </c>
      <c r="S108" s="18">
        <v>471</v>
      </c>
      <c r="T108" s="18">
        <v>0</v>
      </c>
      <c r="U108" s="18">
        <v>84</v>
      </c>
      <c r="V108" s="18">
        <v>0.04</v>
      </c>
      <c r="W108" s="18">
        <v>0.04</v>
      </c>
      <c r="X108" s="18">
        <v>0.4</v>
      </c>
      <c r="Y108" s="18">
        <v>4.2999999999999997E-2</v>
      </c>
      <c r="Z108" s="18">
        <v>0</v>
      </c>
      <c r="AA108" s="18">
        <v>72</v>
      </c>
      <c r="AB108" s="18">
        <v>7795</v>
      </c>
      <c r="AC108" s="18" t="s">
        <v>500</v>
      </c>
      <c r="AD108" s="18" t="s">
        <v>221</v>
      </c>
      <c r="AE108" s="18" t="s">
        <v>501</v>
      </c>
      <c r="AF108" s="18">
        <v>0</v>
      </c>
      <c r="AG108" s="18" t="s">
        <v>502</v>
      </c>
      <c r="AH108" s="18" t="s">
        <v>503</v>
      </c>
      <c r="AI108" s="18" t="s">
        <v>226</v>
      </c>
      <c r="AJ108" s="18" t="s">
        <v>504</v>
      </c>
      <c r="AK108" s="18" t="s">
        <v>505</v>
      </c>
      <c r="AL108" s="18" t="s">
        <v>282</v>
      </c>
      <c r="AM108" s="18" t="s">
        <v>283</v>
      </c>
      <c r="AN108" s="18" t="s">
        <v>506</v>
      </c>
      <c r="AO108" s="18" t="s">
        <v>507</v>
      </c>
      <c r="AP108" s="18" t="s">
        <v>419</v>
      </c>
      <c r="AQ108" s="18" t="s">
        <v>362</v>
      </c>
      <c r="AR108" s="18">
        <v>22</v>
      </c>
      <c r="AS108" s="18">
        <v>30</v>
      </c>
      <c r="AT108" s="18">
        <v>15</v>
      </c>
      <c r="AU108" s="18">
        <v>38</v>
      </c>
      <c r="AV108" s="18">
        <v>2000</v>
      </c>
      <c r="AW108" s="18">
        <v>2500</v>
      </c>
      <c r="AX108" s="18">
        <v>1000</v>
      </c>
      <c r="AY108" s="18">
        <v>4000</v>
      </c>
      <c r="AZ108" s="18">
        <v>6</v>
      </c>
      <c r="BA108" s="18">
        <v>6.5</v>
      </c>
      <c r="BB108" s="18">
        <v>4.5</v>
      </c>
      <c r="BC108" s="18">
        <v>8</v>
      </c>
      <c r="BD108" s="18">
        <v>0</v>
      </c>
      <c r="BE108" s="18">
        <v>0</v>
      </c>
      <c r="BF108" s="18">
        <v>0</v>
      </c>
      <c r="BG108" s="18">
        <v>0</v>
      </c>
      <c r="BH108" s="18">
        <v>1000</v>
      </c>
      <c r="BI108" s="18" t="s">
        <v>164</v>
      </c>
      <c r="BJ108" s="18" t="s">
        <v>164</v>
      </c>
      <c r="BK108" s="18" t="s">
        <v>163</v>
      </c>
      <c r="BL108" s="18" t="s">
        <v>165</v>
      </c>
      <c r="BM108" s="18" t="s">
        <v>166</v>
      </c>
      <c r="BN108" s="18" t="s">
        <v>201</v>
      </c>
      <c r="BO108" s="51" t="s">
        <v>167</v>
      </c>
      <c r="BP108" s="51" t="s">
        <v>168</v>
      </c>
      <c r="BQ108" s="51" t="s">
        <v>170</v>
      </c>
      <c r="BR108" s="51" t="s">
        <v>170</v>
      </c>
      <c r="BS108" s="51">
        <v>0</v>
      </c>
      <c r="BT108" s="51">
        <v>0</v>
      </c>
      <c r="BU108" s="51" t="s">
        <v>171</v>
      </c>
      <c r="BV108" s="51" t="s">
        <v>171</v>
      </c>
      <c r="BW108" s="51" t="s">
        <v>172</v>
      </c>
      <c r="BX108" s="51" t="s">
        <v>172</v>
      </c>
      <c r="BY108" s="51">
        <v>3</v>
      </c>
      <c r="BZ108" s="51">
        <v>3</v>
      </c>
      <c r="CA108" s="51" t="s">
        <v>508</v>
      </c>
      <c r="CB108" s="51" t="s">
        <v>251</v>
      </c>
      <c r="CC108" s="51">
        <v>0</v>
      </c>
      <c r="CD108" s="51">
        <v>0</v>
      </c>
      <c r="CE108" s="51">
        <v>0</v>
      </c>
      <c r="CF108" s="51">
        <v>0</v>
      </c>
      <c r="CG108" s="51">
        <v>50</v>
      </c>
      <c r="CH108" s="51">
        <v>70</v>
      </c>
      <c r="CI108" s="32">
        <v>0.3</v>
      </c>
      <c r="CJ108" s="32">
        <v>0.5</v>
      </c>
      <c r="CK108" s="32">
        <v>3</v>
      </c>
      <c r="CL108" s="32">
        <v>5</v>
      </c>
      <c r="CM108" s="33" t="s">
        <v>509</v>
      </c>
      <c r="CN108" s="34">
        <v>5</v>
      </c>
      <c r="CO108" s="34">
        <v>30</v>
      </c>
      <c r="CP108" s="35" t="s">
        <v>510</v>
      </c>
      <c r="CQ108" s="35" t="s">
        <v>511</v>
      </c>
      <c r="CR108" s="36">
        <v>5</v>
      </c>
      <c r="CS108" s="36">
        <v>5</v>
      </c>
      <c r="CT108" s="36">
        <v>8</v>
      </c>
      <c r="CU108" s="36">
        <v>3</v>
      </c>
      <c r="CV108" s="36">
        <v>5</v>
      </c>
      <c r="CW108" s="36">
        <v>8</v>
      </c>
      <c r="CX108" s="36">
        <v>5</v>
      </c>
      <c r="CY108" s="36">
        <v>20</v>
      </c>
      <c r="CZ108" s="36">
        <v>6</v>
      </c>
      <c r="DA108" s="37">
        <v>130</v>
      </c>
      <c r="DB108" s="37">
        <v>120</v>
      </c>
      <c r="DC108" s="37">
        <v>250</v>
      </c>
      <c r="DD108" s="37">
        <v>25</v>
      </c>
      <c r="DE108" s="37">
        <v>40</v>
      </c>
      <c r="DF108" s="37">
        <v>100</v>
      </c>
      <c r="DG108" s="37">
        <v>50</v>
      </c>
      <c r="DH108" s="37">
        <v>450</v>
      </c>
      <c r="DI108" s="37">
        <v>100</v>
      </c>
      <c r="DJ108" s="38" t="s">
        <v>512</v>
      </c>
      <c r="DK108" s="39" t="s">
        <v>180</v>
      </c>
      <c r="DL108" s="40">
        <v>75</v>
      </c>
      <c r="DM108" s="39" t="s">
        <v>513</v>
      </c>
      <c r="DN108" s="25" t="s">
        <v>183</v>
      </c>
      <c r="DO108" s="25" t="s">
        <v>183</v>
      </c>
      <c r="DP108" s="25" t="s">
        <v>183</v>
      </c>
      <c r="DQ108" s="24" t="s">
        <v>182</v>
      </c>
      <c r="DR108" s="41"/>
      <c r="DS108" s="41"/>
      <c r="DT108" s="41"/>
      <c r="DU108" s="41"/>
      <c r="DV108" s="41"/>
      <c r="DW108" s="41"/>
      <c r="DX108" s="24" t="s">
        <v>182</v>
      </c>
      <c r="DY108" s="25" t="s">
        <v>183</v>
      </c>
      <c r="DZ108" s="42" t="s">
        <v>514</v>
      </c>
      <c r="EA108" s="42" t="s">
        <v>515</v>
      </c>
      <c r="EB108" s="43" t="s">
        <v>214</v>
      </c>
      <c r="EC108" s="44" t="s">
        <v>516</v>
      </c>
      <c r="ED108" s="45" t="s">
        <v>216</v>
      </c>
      <c r="EE108" s="46">
        <v>3</v>
      </c>
      <c r="EF108" s="47" t="s">
        <v>304</v>
      </c>
    </row>
    <row r="109" spans="1:136" ht="15" customHeight="1" x14ac:dyDescent="0.25">
      <c r="A109" s="16" t="s">
        <v>1876</v>
      </c>
      <c r="B109" s="29" t="s">
        <v>1700</v>
      </c>
      <c r="C109" s="29" t="s">
        <v>1877</v>
      </c>
      <c r="D109" s="30">
        <v>94.6</v>
      </c>
      <c r="E109" s="30">
        <v>3.3</v>
      </c>
      <c r="F109" s="30">
        <v>5.9</v>
      </c>
      <c r="G109" s="30">
        <v>0.6</v>
      </c>
      <c r="H109" s="30">
        <v>14.1</v>
      </c>
      <c r="I109" s="30">
        <v>317</v>
      </c>
      <c r="J109" s="30">
        <v>6.65</v>
      </c>
      <c r="K109" s="30">
        <v>91</v>
      </c>
      <c r="L109" s="30">
        <v>66</v>
      </c>
      <c r="M109" s="30">
        <v>668</v>
      </c>
      <c r="N109" s="30">
        <v>26</v>
      </c>
      <c r="O109" s="30">
        <v>0.93</v>
      </c>
      <c r="P109" s="30"/>
      <c r="Q109" s="30"/>
      <c r="R109" s="30">
        <v>0.1</v>
      </c>
      <c r="S109" s="30">
        <v>790</v>
      </c>
      <c r="T109" s="30">
        <v>0.9</v>
      </c>
      <c r="U109" s="30">
        <v>22</v>
      </c>
      <c r="V109" s="30">
        <v>3.5999999999999997E-2</v>
      </c>
      <c r="W109" s="30">
        <v>0.152</v>
      </c>
      <c r="X109" s="30">
        <v>0.91</v>
      </c>
      <c r="Y109" s="30">
        <v>0.34</v>
      </c>
      <c r="Z109" s="30">
        <v>0</v>
      </c>
      <c r="AA109" s="30">
        <v>109</v>
      </c>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19">
        <v>0.5</v>
      </c>
      <c r="CJ109" s="19">
        <v>1.8</v>
      </c>
      <c r="CK109" s="19">
        <v>0.5</v>
      </c>
      <c r="CL109" s="19">
        <v>1.5</v>
      </c>
      <c r="CM109" s="17" t="s">
        <v>1878</v>
      </c>
      <c r="CN109" s="20">
        <v>2</v>
      </c>
      <c r="CO109" s="20">
        <v>8</v>
      </c>
      <c r="CP109" s="17" t="s">
        <v>1879</v>
      </c>
      <c r="CQ109" s="17" t="s">
        <v>375</v>
      </c>
      <c r="CR109" s="21">
        <v>5</v>
      </c>
      <c r="CS109" s="21">
        <v>4</v>
      </c>
      <c r="CT109" s="21">
        <v>4</v>
      </c>
      <c r="CU109" s="21">
        <v>2</v>
      </c>
      <c r="CV109" s="21">
        <v>2</v>
      </c>
      <c r="CW109" s="21">
        <v>5</v>
      </c>
      <c r="CX109" s="21">
        <v>3</v>
      </c>
      <c r="CY109" s="21">
        <v>10</v>
      </c>
      <c r="CZ109" s="21">
        <v>5</v>
      </c>
      <c r="DA109" s="21">
        <v>100</v>
      </c>
      <c r="DB109" s="21">
        <v>80</v>
      </c>
      <c r="DC109" s="21">
        <v>100</v>
      </c>
      <c r="DD109" s="21">
        <v>15</v>
      </c>
      <c r="DE109" s="21">
        <v>15</v>
      </c>
      <c r="DF109" s="21">
        <v>60</v>
      </c>
      <c r="DG109" s="21">
        <v>30</v>
      </c>
      <c r="DH109" s="21">
        <v>250</v>
      </c>
      <c r="DI109" s="21">
        <v>80</v>
      </c>
      <c r="DJ109" s="17" t="s">
        <v>1880</v>
      </c>
      <c r="DK109" s="17" t="s">
        <v>180</v>
      </c>
      <c r="DL109" s="22">
        <v>75</v>
      </c>
      <c r="DM109" s="17" t="s">
        <v>1881</v>
      </c>
      <c r="DN109" s="25" t="s">
        <v>183</v>
      </c>
      <c r="DO109" s="25" t="s">
        <v>183</v>
      </c>
      <c r="DP109" s="25" t="s">
        <v>183</v>
      </c>
      <c r="DQ109" s="25" t="s">
        <v>183</v>
      </c>
      <c r="DR109" s="25" t="s">
        <v>183</v>
      </c>
      <c r="DS109" s="25" t="s">
        <v>183</v>
      </c>
      <c r="DT109" s="25" t="s">
        <v>183</v>
      </c>
      <c r="DU109" s="25" t="s">
        <v>183</v>
      </c>
      <c r="DV109" s="25" t="s">
        <v>183</v>
      </c>
      <c r="DW109" s="25" t="s">
        <v>183</v>
      </c>
      <c r="DX109" s="25" t="s">
        <v>183</v>
      </c>
      <c r="DY109" s="25" t="s">
        <v>183</v>
      </c>
      <c r="DZ109" s="17" t="s">
        <v>1882</v>
      </c>
      <c r="EA109" s="17" t="s">
        <v>1883</v>
      </c>
      <c r="EB109" s="48" t="s">
        <v>239</v>
      </c>
      <c r="EC109" s="17" t="s">
        <v>1884</v>
      </c>
      <c r="ED109" s="27" t="s">
        <v>756</v>
      </c>
      <c r="EE109" s="22">
        <v>1</v>
      </c>
      <c r="EF109" s="54" t="s">
        <v>841</v>
      </c>
    </row>
    <row r="110" spans="1:136" ht="15" customHeight="1" x14ac:dyDescent="0.25">
      <c r="A110" s="16" t="s">
        <v>1374</v>
      </c>
      <c r="B110" s="17" t="s">
        <v>409</v>
      </c>
      <c r="C110" s="17" t="s">
        <v>1375</v>
      </c>
      <c r="D110" s="18">
        <v>35.9</v>
      </c>
      <c r="E110" s="18">
        <v>2</v>
      </c>
      <c r="F110" s="18">
        <v>0.1</v>
      </c>
      <c r="G110" s="18">
        <v>3.4</v>
      </c>
      <c r="H110" s="18">
        <v>4.7</v>
      </c>
      <c r="I110" s="18">
        <v>8</v>
      </c>
      <c r="J110" s="18">
        <v>0.7</v>
      </c>
      <c r="K110" s="18">
        <v>16</v>
      </c>
      <c r="L110" s="18">
        <v>40</v>
      </c>
      <c r="M110" s="18">
        <v>280</v>
      </c>
      <c r="N110" s="18">
        <v>1</v>
      </c>
      <c r="O110" s="18">
        <v>0.2</v>
      </c>
      <c r="P110" s="18"/>
      <c r="Q110" s="18"/>
      <c r="R110" s="18">
        <v>0.1</v>
      </c>
      <c r="S110" s="18">
        <v>154</v>
      </c>
      <c r="T110" s="18">
        <v>1.92</v>
      </c>
      <c r="U110" s="18">
        <v>15</v>
      </c>
      <c r="V110" s="18">
        <v>0.03</v>
      </c>
      <c r="W110" s="18">
        <v>0.04</v>
      </c>
      <c r="X110" s="18">
        <v>0.3</v>
      </c>
      <c r="Y110" s="18">
        <v>0.28999999999999998</v>
      </c>
      <c r="Z110" s="18">
        <v>0</v>
      </c>
      <c r="AA110" s="18">
        <v>4</v>
      </c>
      <c r="AB110" s="18">
        <v>859</v>
      </c>
      <c r="AC110" s="18" t="s">
        <v>1376</v>
      </c>
      <c r="AD110" s="18" t="s">
        <v>1377</v>
      </c>
      <c r="AE110" s="18" t="s">
        <v>579</v>
      </c>
      <c r="AF110" s="18" t="s">
        <v>1378</v>
      </c>
      <c r="AG110" s="18" t="s">
        <v>1379</v>
      </c>
      <c r="AH110" s="18" t="s">
        <v>1380</v>
      </c>
      <c r="AI110" s="18" t="s">
        <v>226</v>
      </c>
      <c r="AJ110" s="18" t="s">
        <v>1381</v>
      </c>
      <c r="AK110" s="18" t="s">
        <v>157</v>
      </c>
      <c r="AL110" s="18" t="s">
        <v>314</v>
      </c>
      <c r="AM110" s="18"/>
      <c r="AN110" s="18" t="s">
        <v>978</v>
      </c>
      <c r="AO110" s="18" t="s">
        <v>933</v>
      </c>
      <c r="AP110" s="18" t="s">
        <v>419</v>
      </c>
      <c r="AQ110" s="18" t="s">
        <v>287</v>
      </c>
      <c r="AR110" s="18">
        <v>16</v>
      </c>
      <c r="AS110" s="18">
        <v>22</v>
      </c>
      <c r="AT110" s="18">
        <v>10</v>
      </c>
      <c r="AU110" s="18">
        <v>30</v>
      </c>
      <c r="AV110" s="18">
        <v>2000</v>
      </c>
      <c r="AW110" s="18">
        <v>2600</v>
      </c>
      <c r="AX110" s="18">
        <v>600</v>
      </c>
      <c r="AY110" s="18">
        <v>4000</v>
      </c>
      <c r="AZ110" s="18">
        <v>6.3</v>
      </c>
      <c r="BA110" s="18">
        <v>7</v>
      </c>
      <c r="BB110" s="18">
        <v>5.8</v>
      </c>
      <c r="BC110" s="18">
        <v>7.5</v>
      </c>
      <c r="BD110" s="18"/>
      <c r="BE110" s="18"/>
      <c r="BF110" s="18">
        <v>10</v>
      </c>
      <c r="BG110" s="18">
        <v>40</v>
      </c>
      <c r="BH110" s="18">
        <v>2800</v>
      </c>
      <c r="BI110" s="18" t="s">
        <v>163</v>
      </c>
      <c r="BJ110" s="18" t="s">
        <v>163</v>
      </c>
      <c r="BK110" s="18" t="s">
        <v>163</v>
      </c>
      <c r="BL110" s="18" t="s">
        <v>165</v>
      </c>
      <c r="BM110" s="18" t="s">
        <v>201</v>
      </c>
      <c r="BN110" s="18" t="s">
        <v>201</v>
      </c>
      <c r="BO110" s="18" t="s">
        <v>250</v>
      </c>
      <c r="BP110" s="18" t="s">
        <v>567</v>
      </c>
      <c r="BQ110" s="18" t="s">
        <v>169</v>
      </c>
      <c r="BR110" s="18" t="s">
        <v>170</v>
      </c>
      <c r="BS110" s="18"/>
      <c r="BT110" s="18"/>
      <c r="BU110" s="18" t="s">
        <v>171</v>
      </c>
      <c r="BV110" s="18" t="s">
        <v>171</v>
      </c>
      <c r="BW110" s="18" t="s">
        <v>172</v>
      </c>
      <c r="BX110" s="18" t="s">
        <v>172</v>
      </c>
      <c r="BY110" s="18">
        <v>-2</v>
      </c>
      <c r="BZ110" s="18">
        <v>-2</v>
      </c>
      <c r="CA110" s="18" t="s">
        <v>508</v>
      </c>
      <c r="CB110" s="18" t="s">
        <v>319</v>
      </c>
      <c r="CC110" s="18"/>
      <c r="CD110" s="18"/>
      <c r="CE110" s="18"/>
      <c r="CF110" s="18" t="s">
        <v>206</v>
      </c>
      <c r="CG110" s="18">
        <v>270</v>
      </c>
      <c r="CH110" s="18">
        <v>330</v>
      </c>
      <c r="CI110" s="19">
        <v>1.5</v>
      </c>
      <c r="CJ110" s="19">
        <v>4</v>
      </c>
      <c r="CK110" s="19">
        <v>1.5</v>
      </c>
      <c r="CL110" s="19">
        <v>3</v>
      </c>
      <c r="CM110" s="17" t="s">
        <v>721</v>
      </c>
      <c r="CN110" s="20">
        <v>5</v>
      </c>
      <c r="CO110" s="20">
        <v>25</v>
      </c>
      <c r="CP110" s="17" t="s">
        <v>1382</v>
      </c>
      <c r="CQ110" s="17" t="s">
        <v>808</v>
      </c>
      <c r="CR110" s="21">
        <v>0</v>
      </c>
      <c r="CS110" s="21">
        <v>0</v>
      </c>
      <c r="CT110" s="21">
        <v>5</v>
      </c>
      <c r="CU110" s="21">
        <v>4</v>
      </c>
      <c r="CV110" s="21">
        <v>5</v>
      </c>
      <c r="CW110" s="21">
        <v>10</v>
      </c>
      <c r="CX110" s="21">
        <v>4</v>
      </c>
      <c r="CY110" s="21">
        <v>20</v>
      </c>
      <c r="CZ110" s="21">
        <v>6</v>
      </c>
      <c r="DA110" s="21">
        <v>0</v>
      </c>
      <c r="DB110" s="21">
        <v>0</v>
      </c>
      <c r="DC110" s="21">
        <v>40</v>
      </c>
      <c r="DD110" s="21">
        <v>25</v>
      </c>
      <c r="DE110" s="21">
        <v>35</v>
      </c>
      <c r="DF110" s="21">
        <v>80</v>
      </c>
      <c r="DG110" s="21">
        <v>30</v>
      </c>
      <c r="DH110" s="21">
        <v>350</v>
      </c>
      <c r="DI110" s="21">
        <v>60</v>
      </c>
      <c r="DJ110" s="17" t="s">
        <v>1383</v>
      </c>
      <c r="DK110" s="17" t="s">
        <v>409</v>
      </c>
      <c r="DL110" s="22">
        <v>150</v>
      </c>
      <c r="DM110" s="17" t="s">
        <v>1384</v>
      </c>
      <c r="DN110" s="23"/>
      <c r="DO110" s="23"/>
      <c r="DP110" s="24" t="s">
        <v>182</v>
      </c>
      <c r="DQ110" s="25" t="s">
        <v>183</v>
      </c>
      <c r="DR110" s="25" t="s">
        <v>183</v>
      </c>
      <c r="DS110" s="25" t="s">
        <v>183</v>
      </c>
      <c r="DT110" s="24" t="s">
        <v>182</v>
      </c>
      <c r="DU110" s="23"/>
      <c r="DV110" s="23"/>
      <c r="DW110" s="23"/>
      <c r="DX110" s="23"/>
      <c r="DY110" s="23"/>
      <c r="DZ110" s="17" t="s">
        <v>1385</v>
      </c>
      <c r="EA110" s="17" t="s">
        <v>1386</v>
      </c>
      <c r="EB110" s="26" t="s">
        <v>186</v>
      </c>
      <c r="EC110" s="17" t="s">
        <v>1387</v>
      </c>
      <c r="ED110" s="27" t="s">
        <v>353</v>
      </c>
      <c r="EE110" s="22">
        <v>4</v>
      </c>
      <c r="EF110" s="28" t="s">
        <v>353</v>
      </c>
    </row>
    <row r="111" spans="1:136" ht="15" customHeight="1" x14ac:dyDescent="0.25">
      <c r="A111" s="16" t="s">
        <v>1785</v>
      </c>
      <c r="B111" s="17" t="s">
        <v>1700</v>
      </c>
      <c r="C111" s="17" t="s">
        <v>1786</v>
      </c>
      <c r="D111" s="18">
        <v>40.6</v>
      </c>
      <c r="E111" s="18">
        <v>3.4</v>
      </c>
      <c r="F111" s="18">
        <v>1.2</v>
      </c>
      <c r="G111" s="18">
        <v>2.5</v>
      </c>
      <c r="H111" s="18">
        <v>3.3</v>
      </c>
      <c r="I111" s="18">
        <v>170</v>
      </c>
      <c r="J111" s="18">
        <v>1.9</v>
      </c>
      <c r="K111" s="18">
        <v>31</v>
      </c>
      <c r="L111" s="18">
        <v>55</v>
      </c>
      <c r="M111" s="18">
        <v>370</v>
      </c>
      <c r="N111" s="18">
        <v>42</v>
      </c>
      <c r="O111" s="18">
        <v>0.9</v>
      </c>
      <c r="P111" s="18">
        <v>0.03</v>
      </c>
      <c r="Q111" s="18">
        <v>0.6</v>
      </c>
      <c r="R111" s="18">
        <v>0.1</v>
      </c>
      <c r="S111" s="18">
        <v>1040</v>
      </c>
      <c r="T111" s="18">
        <v>0</v>
      </c>
      <c r="U111" s="18">
        <v>66</v>
      </c>
      <c r="V111" s="18">
        <v>0.17</v>
      </c>
      <c r="W111" s="18">
        <v>0.54</v>
      </c>
      <c r="X111" s="18">
        <v>1.4</v>
      </c>
      <c r="Y111" s="18">
        <v>0.18</v>
      </c>
      <c r="Z111" s="18">
        <v>0</v>
      </c>
      <c r="AA111" s="18">
        <v>150</v>
      </c>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32">
        <v>0.6</v>
      </c>
      <c r="CJ111" s="32">
        <v>1.5</v>
      </c>
      <c r="CK111" s="32">
        <v>0.2</v>
      </c>
      <c r="CL111" s="32">
        <v>0.5</v>
      </c>
      <c r="CM111" s="33" t="s">
        <v>1709</v>
      </c>
      <c r="CN111" s="34">
        <v>2</v>
      </c>
      <c r="CO111" s="34">
        <v>10</v>
      </c>
      <c r="CP111" s="35" t="s">
        <v>1787</v>
      </c>
      <c r="CQ111" s="35" t="s">
        <v>723</v>
      </c>
      <c r="CR111" s="36">
        <v>3</v>
      </c>
      <c r="CS111" s="36">
        <v>2</v>
      </c>
      <c r="CT111" s="36">
        <v>5</v>
      </c>
      <c r="CU111" s="36">
        <v>2</v>
      </c>
      <c r="CV111" s="36">
        <v>2</v>
      </c>
      <c r="CW111" s="36">
        <v>0</v>
      </c>
      <c r="CX111" s="36">
        <v>3</v>
      </c>
      <c r="CY111" s="36">
        <v>12</v>
      </c>
      <c r="CZ111" s="36">
        <v>5</v>
      </c>
      <c r="DA111" s="37">
        <v>100</v>
      </c>
      <c r="DB111" s="37">
        <v>60</v>
      </c>
      <c r="DC111" s="37">
        <v>160</v>
      </c>
      <c r="DD111" s="37">
        <v>15</v>
      </c>
      <c r="DE111" s="37">
        <v>15</v>
      </c>
      <c r="DF111" s="37">
        <v>0</v>
      </c>
      <c r="DG111" s="37">
        <v>30</v>
      </c>
      <c r="DH111" s="37">
        <v>280</v>
      </c>
      <c r="DI111" s="37">
        <v>80</v>
      </c>
      <c r="DJ111" s="38" t="s">
        <v>724</v>
      </c>
      <c r="DK111" s="39" t="s">
        <v>180</v>
      </c>
      <c r="DL111" s="40">
        <v>75</v>
      </c>
      <c r="DM111" s="39" t="s">
        <v>1788</v>
      </c>
      <c r="DN111" s="41"/>
      <c r="DO111" s="24" t="s">
        <v>182</v>
      </c>
      <c r="DP111" s="25" t="s">
        <v>183</v>
      </c>
      <c r="DQ111" s="25" t="s">
        <v>183</v>
      </c>
      <c r="DR111" s="25" t="s">
        <v>183</v>
      </c>
      <c r="DS111" s="24" t="s">
        <v>182</v>
      </c>
      <c r="DT111" s="41"/>
      <c r="DU111" s="24" t="s">
        <v>182</v>
      </c>
      <c r="DV111" s="25" t="s">
        <v>183</v>
      </c>
      <c r="DW111" s="25" t="s">
        <v>183</v>
      </c>
      <c r="DX111" s="25" t="s">
        <v>183</v>
      </c>
      <c r="DY111" s="24" t="s">
        <v>182</v>
      </c>
      <c r="DZ111" s="42" t="s">
        <v>1789</v>
      </c>
      <c r="EA111" s="42" t="s">
        <v>1790</v>
      </c>
      <c r="EB111" s="43" t="s">
        <v>214</v>
      </c>
      <c r="EC111" s="44" t="s">
        <v>970</v>
      </c>
      <c r="ED111" s="45" t="s">
        <v>1067</v>
      </c>
      <c r="EE111" s="46">
        <v>2</v>
      </c>
      <c r="EF111" s="47" t="s">
        <v>304</v>
      </c>
    </row>
    <row r="112" spans="1:136" ht="15" customHeight="1" x14ac:dyDescent="0.25">
      <c r="A112" s="16" t="s">
        <v>1849</v>
      </c>
      <c r="B112" s="29" t="s">
        <v>1700</v>
      </c>
      <c r="C112" s="29" t="s">
        <v>1850</v>
      </c>
      <c r="D112" s="30">
        <v>35.9</v>
      </c>
      <c r="E112" s="30">
        <v>3.9</v>
      </c>
      <c r="F112" s="30">
        <v>0.7</v>
      </c>
      <c r="G112" s="30">
        <v>1.1000000000000001</v>
      </c>
      <c r="H112" s="30">
        <v>5</v>
      </c>
      <c r="I112" s="30">
        <v>120</v>
      </c>
      <c r="J112" s="30">
        <v>3.9</v>
      </c>
      <c r="K112" s="30">
        <v>43</v>
      </c>
      <c r="L112" s="30">
        <v>94</v>
      </c>
      <c r="M112" s="30">
        <v>660</v>
      </c>
      <c r="N112" s="30">
        <v>150</v>
      </c>
      <c r="O112" s="30">
        <v>0.91</v>
      </c>
      <c r="P112" s="30">
        <v>0.45</v>
      </c>
      <c r="Q112" s="30">
        <v>0.9</v>
      </c>
      <c r="R112" s="30">
        <v>0.1</v>
      </c>
      <c r="S112" s="30">
        <v>700</v>
      </c>
      <c r="T112" s="30">
        <v>2.83</v>
      </c>
      <c r="U112" s="30">
        <v>180</v>
      </c>
      <c r="V112" s="30">
        <v>0.1</v>
      </c>
      <c r="W112" s="30">
        <v>0.18</v>
      </c>
      <c r="X112" s="30">
        <v>1.2</v>
      </c>
      <c r="Y112" s="30">
        <v>0.13</v>
      </c>
      <c r="Z112" s="30">
        <v>0</v>
      </c>
      <c r="AA112" s="30">
        <v>180</v>
      </c>
      <c r="AB112" s="31">
        <v>1661</v>
      </c>
      <c r="AC112" s="31" t="s">
        <v>1851</v>
      </c>
      <c r="AD112" s="31" t="s">
        <v>1852</v>
      </c>
      <c r="AE112" s="31" t="s">
        <v>195</v>
      </c>
      <c r="AF112" s="31" t="s">
        <v>1853</v>
      </c>
      <c r="AG112" s="31" t="s">
        <v>1854</v>
      </c>
      <c r="AH112" s="31" t="s">
        <v>1855</v>
      </c>
      <c r="AI112" s="31" t="s">
        <v>155</v>
      </c>
      <c r="AJ112" s="31" t="s">
        <v>156</v>
      </c>
      <c r="AK112" s="31" t="s">
        <v>157</v>
      </c>
      <c r="AL112" s="31" t="s">
        <v>314</v>
      </c>
      <c r="AM112" s="31"/>
      <c r="AN112" s="31"/>
      <c r="AO112" s="31" t="s">
        <v>228</v>
      </c>
      <c r="AP112" s="31" t="s">
        <v>161</v>
      </c>
      <c r="AQ112" s="31" t="s">
        <v>162</v>
      </c>
      <c r="AR112" s="31">
        <v>11</v>
      </c>
      <c r="AS112" s="31">
        <v>20</v>
      </c>
      <c r="AT112" s="31">
        <v>7</v>
      </c>
      <c r="AU112" s="31">
        <v>28</v>
      </c>
      <c r="AV112" s="31">
        <v>900</v>
      </c>
      <c r="AW112" s="31">
        <v>1500</v>
      </c>
      <c r="AX112" s="31">
        <v>300</v>
      </c>
      <c r="AY112" s="31">
        <v>2800</v>
      </c>
      <c r="AZ112" s="31">
        <v>6</v>
      </c>
      <c r="BA112" s="31">
        <v>7.5</v>
      </c>
      <c r="BB112" s="31">
        <v>5.3</v>
      </c>
      <c r="BC112" s="31">
        <v>8.3000000000000007</v>
      </c>
      <c r="BD112" s="31"/>
      <c r="BE112" s="31"/>
      <c r="BF112" s="31"/>
      <c r="BG112" s="31"/>
      <c r="BH112" s="31">
        <v>2400</v>
      </c>
      <c r="BI112" s="31" t="s">
        <v>164</v>
      </c>
      <c r="BJ112" s="31" t="s">
        <v>165</v>
      </c>
      <c r="BK112" s="31" t="s">
        <v>163</v>
      </c>
      <c r="BL112" s="31" t="s">
        <v>317</v>
      </c>
      <c r="BM112" s="31" t="s">
        <v>201</v>
      </c>
      <c r="BN112" s="31" t="s">
        <v>201</v>
      </c>
      <c r="BO112" s="31" t="s">
        <v>167</v>
      </c>
      <c r="BP112" s="31" t="s">
        <v>203</v>
      </c>
      <c r="BQ112" s="31" t="s">
        <v>170</v>
      </c>
      <c r="BR112" s="31" t="s">
        <v>230</v>
      </c>
      <c r="BS112" s="31"/>
      <c r="BT112" s="31"/>
      <c r="BU112" s="31" t="s">
        <v>171</v>
      </c>
      <c r="BV112" s="31" t="s">
        <v>231</v>
      </c>
      <c r="BW112" s="31" t="s">
        <v>172</v>
      </c>
      <c r="BX112" s="31" t="s">
        <v>172</v>
      </c>
      <c r="BY112" s="31">
        <v>-5</v>
      </c>
      <c r="BZ112" s="31">
        <v>0</v>
      </c>
      <c r="CA112" s="31" t="s">
        <v>173</v>
      </c>
      <c r="CB112" s="31" t="s">
        <v>387</v>
      </c>
      <c r="CC112" s="31"/>
      <c r="CD112" s="31"/>
      <c r="CE112" s="31"/>
      <c r="CF112" s="31" t="s">
        <v>206</v>
      </c>
      <c r="CG112" s="31">
        <v>70</v>
      </c>
      <c r="CH112" s="31">
        <v>365</v>
      </c>
      <c r="CI112" s="32">
        <v>0.3</v>
      </c>
      <c r="CJ112" s="32">
        <v>0.8</v>
      </c>
      <c r="CK112" s="32">
        <v>0.2</v>
      </c>
      <c r="CL112" s="32">
        <v>0.4</v>
      </c>
      <c r="CM112" s="33" t="s">
        <v>1856</v>
      </c>
      <c r="CN112" s="34">
        <v>8</v>
      </c>
      <c r="CO112" s="34">
        <v>25</v>
      </c>
      <c r="CP112" s="35" t="s">
        <v>1857</v>
      </c>
      <c r="CQ112" s="35" t="s">
        <v>1858</v>
      </c>
      <c r="CR112" s="36">
        <v>4</v>
      </c>
      <c r="CS112" s="36">
        <v>3</v>
      </c>
      <c r="CT112" s="36">
        <v>8</v>
      </c>
      <c r="CU112" s="36">
        <v>3</v>
      </c>
      <c r="CV112" s="36">
        <v>3</v>
      </c>
      <c r="CW112" s="36">
        <v>0</v>
      </c>
      <c r="CX112" s="36">
        <v>4</v>
      </c>
      <c r="CY112" s="36">
        <v>15</v>
      </c>
      <c r="CZ112" s="36">
        <v>6</v>
      </c>
      <c r="DA112" s="37">
        <v>120</v>
      </c>
      <c r="DB112" s="37">
        <v>80</v>
      </c>
      <c r="DC112" s="37">
        <v>250</v>
      </c>
      <c r="DD112" s="37">
        <v>25</v>
      </c>
      <c r="DE112" s="37">
        <v>25</v>
      </c>
      <c r="DF112" s="37">
        <v>0</v>
      </c>
      <c r="DG112" s="37">
        <v>40</v>
      </c>
      <c r="DH112" s="37">
        <v>350</v>
      </c>
      <c r="DI112" s="37">
        <v>100</v>
      </c>
      <c r="DJ112" s="38" t="s">
        <v>1859</v>
      </c>
      <c r="DK112" s="39" t="s">
        <v>180</v>
      </c>
      <c r="DL112" s="40">
        <v>75</v>
      </c>
      <c r="DM112" s="39" t="s">
        <v>1860</v>
      </c>
      <c r="DN112" s="41"/>
      <c r="DO112" s="24" t="s">
        <v>182</v>
      </c>
      <c r="DP112" s="25" t="s">
        <v>183</v>
      </c>
      <c r="DQ112" s="25" t="s">
        <v>183</v>
      </c>
      <c r="DR112" s="25" t="s">
        <v>183</v>
      </c>
      <c r="DS112" s="24" t="s">
        <v>182</v>
      </c>
      <c r="DT112" s="41"/>
      <c r="DU112" s="24" t="s">
        <v>182</v>
      </c>
      <c r="DV112" s="25" t="s">
        <v>183</v>
      </c>
      <c r="DW112" s="25" t="s">
        <v>183</v>
      </c>
      <c r="DX112" s="25" t="s">
        <v>183</v>
      </c>
      <c r="DY112" s="24" t="s">
        <v>182</v>
      </c>
      <c r="DZ112" s="42" t="s">
        <v>1861</v>
      </c>
      <c r="EA112" s="42" t="s">
        <v>1771</v>
      </c>
      <c r="EB112" s="43" t="s">
        <v>214</v>
      </c>
      <c r="EC112" s="44" t="s">
        <v>1862</v>
      </c>
      <c r="ED112" s="45" t="s">
        <v>1067</v>
      </c>
      <c r="EE112" s="46">
        <v>2</v>
      </c>
      <c r="EF112" s="47" t="s">
        <v>304</v>
      </c>
    </row>
    <row r="113" spans="1:136" ht="15" customHeight="1" x14ac:dyDescent="0.25">
      <c r="A113" s="16" t="s">
        <v>1824</v>
      </c>
      <c r="B113" s="29" t="s">
        <v>1700</v>
      </c>
      <c r="C113" s="29" t="s">
        <v>1825</v>
      </c>
      <c r="D113" s="30">
        <v>53.8</v>
      </c>
      <c r="E113" s="30">
        <v>3.1</v>
      </c>
      <c r="F113" s="30">
        <v>1.1000000000000001</v>
      </c>
      <c r="G113" s="30">
        <v>4.4000000000000004</v>
      </c>
      <c r="H113" s="30">
        <v>7.2</v>
      </c>
      <c r="I113" s="30">
        <v>210</v>
      </c>
      <c r="J113" s="30">
        <v>3.6</v>
      </c>
      <c r="K113" s="30">
        <v>34</v>
      </c>
      <c r="L113" s="30">
        <v>47</v>
      </c>
      <c r="M113" s="30">
        <v>380</v>
      </c>
      <c r="N113" s="30">
        <v>28</v>
      </c>
      <c r="O113" s="30">
        <v>0.8</v>
      </c>
      <c r="P113" s="30">
        <v>0.03</v>
      </c>
      <c r="Q113" s="30">
        <v>1.1000000000000001</v>
      </c>
      <c r="R113" s="30">
        <v>0.1</v>
      </c>
      <c r="S113" s="30">
        <v>1061</v>
      </c>
      <c r="T113" s="30">
        <v>0.9</v>
      </c>
      <c r="U113" s="30">
        <v>26</v>
      </c>
      <c r="V113" s="30">
        <v>0.15</v>
      </c>
      <c r="W113" s="30">
        <v>0.13</v>
      </c>
      <c r="X113" s="30">
        <v>0.8</v>
      </c>
      <c r="Y113" s="30">
        <v>0.13</v>
      </c>
      <c r="Z113" s="30">
        <v>0</v>
      </c>
      <c r="AA113" s="30">
        <v>114</v>
      </c>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2">
        <v>0.3</v>
      </c>
      <c r="CJ113" s="32">
        <v>1</v>
      </c>
      <c r="CK113" s="32">
        <v>0.5</v>
      </c>
      <c r="CL113" s="32">
        <v>2</v>
      </c>
      <c r="CM113" s="33" t="s">
        <v>1826</v>
      </c>
      <c r="CN113" s="34">
        <v>5</v>
      </c>
      <c r="CO113" s="34">
        <v>20</v>
      </c>
      <c r="CP113" s="35" t="s">
        <v>1827</v>
      </c>
      <c r="CQ113" s="35" t="s">
        <v>723</v>
      </c>
      <c r="CR113" s="36">
        <v>4</v>
      </c>
      <c r="CS113" s="36">
        <v>3</v>
      </c>
      <c r="CT113" s="36">
        <v>8</v>
      </c>
      <c r="CU113" s="36">
        <v>3</v>
      </c>
      <c r="CV113" s="36">
        <v>3</v>
      </c>
      <c r="CW113" s="36">
        <v>5</v>
      </c>
      <c r="CX113" s="36">
        <v>4</v>
      </c>
      <c r="CY113" s="36">
        <v>15</v>
      </c>
      <c r="CZ113" s="36">
        <v>6</v>
      </c>
      <c r="DA113" s="37">
        <v>100</v>
      </c>
      <c r="DB113" s="37">
        <v>80</v>
      </c>
      <c r="DC113" s="37">
        <v>250</v>
      </c>
      <c r="DD113" s="37">
        <v>20</v>
      </c>
      <c r="DE113" s="37">
        <v>25</v>
      </c>
      <c r="DF113" s="37">
        <v>50</v>
      </c>
      <c r="DG113" s="37">
        <v>40</v>
      </c>
      <c r="DH113" s="37">
        <v>350</v>
      </c>
      <c r="DI113" s="37">
        <v>100</v>
      </c>
      <c r="DJ113" s="38" t="s">
        <v>1828</v>
      </c>
      <c r="DK113" s="39" t="s">
        <v>180</v>
      </c>
      <c r="DL113" s="40">
        <v>75</v>
      </c>
      <c r="DM113" s="39" t="s">
        <v>1829</v>
      </c>
      <c r="DN113" s="25" t="s">
        <v>183</v>
      </c>
      <c r="DO113" s="25" t="s">
        <v>183</v>
      </c>
      <c r="DP113" s="25" t="s">
        <v>183</v>
      </c>
      <c r="DQ113" s="25" t="s">
        <v>183</v>
      </c>
      <c r="DR113" s="24" t="s">
        <v>182</v>
      </c>
      <c r="DS113" s="41"/>
      <c r="DT113" s="41"/>
      <c r="DU113" s="24" t="s">
        <v>182</v>
      </c>
      <c r="DV113" s="25" t="s">
        <v>183</v>
      </c>
      <c r="DW113" s="25" t="s">
        <v>183</v>
      </c>
      <c r="DX113" s="25" t="s">
        <v>183</v>
      </c>
      <c r="DY113" s="25" t="s">
        <v>183</v>
      </c>
      <c r="DZ113" s="42" t="s">
        <v>1830</v>
      </c>
      <c r="EA113" s="42" t="s">
        <v>1831</v>
      </c>
      <c r="EB113" s="43" t="s">
        <v>214</v>
      </c>
      <c r="EC113" s="44" t="s">
        <v>970</v>
      </c>
      <c r="ED113" s="45" t="s">
        <v>1067</v>
      </c>
      <c r="EE113" s="46">
        <v>2</v>
      </c>
      <c r="EF113" s="47" t="s">
        <v>304</v>
      </c>
    </row>
    <row r="114" spans="1:136" ht="15" customHeight="1" x14ac:dyDescent="0.25">
      <c r="A114" s="16" t="s">
        <v>1863</v>
      </c>
      <c r="B114" s="17" t="s">
        <v>1700</v>
      </c>
      <c r="C114" s="17" t="s">
        <v>1864</v>
      </c>
      <c r="D114" s="18">
        <v>22.9</v>
      </c>
      <c r="E114" s="18">
        <v>1.9</v>
      </c>
      <c r="F114" s="18">
        <v>0.2</v>
      </c>
      <c r="G114" s="18">
        <v>0.4</v>
      </c>
      <c r="H114" s="18">
        <v>5.8</v>
      </c>
      <c r="I114" s="18">
        <v>200</v>
      </c>
      <c r="J114" s="18">
        <v>9.4</v>
      </c>
      <c r="K114" s="18">
        <v>33</v>
      </c>
      <c r="L114" s="18">
        <v>110</v>
      </c>
      <c r="M114" s="18">
        <v>850</v>
      </c>
      <c r="N114" s="18">
        <v>48</v>
      </c>
      <c r="O114" s="18">
        <v>1.2</v>
      </c>
      <c r="P114" s="18">
        <v>0.13</v>
      </c>
      <c r="Q114" s="18">
        <v>1.5</v>
      </c>
      <c r="R114" s="18">
        <v>0.1</v>
      </c>
      <c r="S114" s="18">
        <v>794</v>
      </c>
      <c r="T114" s="18">
        <v>0.9</v>
      </c>
      <c r="U114" s="18">
        <v>95</v>
      </c>
      <c r="V114" s="18">
        <v>0.16</v>
      </c>
      <c r="W114" s="18">
        <v>0.28000000000000003</v>
      </c>
      <c r="X114" s="18">
        <v>1.1000000000000001</v>
      </c>
      <c r="Y114" s="18">
        <v>0.12</v>
      </c>
      <c r="Z114" s="18">
        <v>0</v>
      </c>
      <c r="AA114" s="18">
        <v>55</v>
      </c>
      <c r="AB114" s="18">
        <v>1661</v>
      </c>
      <c r="AC114" s="18" t="s">
        <v>1851</v>
      </c>
      <c r="AD114" s="18" t="s">
        <v>1852</v>
      </c>
      <c r="AE114" s="18" t="s">
        <v>195</v>
      </c>
      <c r="AF114" s="18" t="s">
        <v>1853</v>
      </c>
      <c r="AG114" s="18" t="s">
        <v>1854</v>
      </c>
      <c r="AH114" s="18" t="s">
        <v>1855</v>
      </c>
      <c r="AI114" s="18" t="s">
        <v>155</v>
      </c>
      <c r="AJ114" s="18" t="s">
        <v>156</v>
      </c>
      <c r="AK114" s="18" t="s">
        <v>157</v>
      </c>
      <c r="AL114" s="18" t="s">
        <v>314</v>
      </c>
      <c r="AM114" s="18"/>
      <c r="AN114" s="18"/>
      <c r="AO114" s="18" t="s">
        <v>228</v>
      </c>
      <c r="AP114" s="18" t="s">
        <v>161</v>
      </c>
      <c r="AQ114" s="18" t="s">
        <v>162</v>
      </c>
      <c r="AR114" s="18">
        <v>11</v>
      </c>
      <c r="AS114" s="18">
        <v>20</v>
      </c>
      <c r="AT114" s="18">
        <v>7</v>
      </c>
      <c r="AU114" s="18">
        <v>28</v>
      </c>
      <c r="AV114" s="18">
        <v>900</v>
      </c>
      <c r="AW114" s="18">
        <v>1500</v>
      </c>
      <c r="AX114" s="18">
        <v>300</v>
      </c>
      <c r="AY114" s="18">
        <v>2800</v>
      </c>
      <c r="AZ114" s="18">
        <v>6</v>
      </c>
      <c r="BA114" s="18">
        <v>7.5</v>
      </c>
      <c r="BB114" s="18">
        <v>5.3</v>
      </c>
      <c r="BC114" s="18">
        <v>8.3000000000000007</v>
      </c>
      <c r="BD114" s="18"/>
      <c r="BE114" s="18"/>
      <c r="BF114" s="18"/>
      <c r="BG114" s="18"/>
      <c r="BH114" s="18">
        <v>2400</v>
      </c>
      <c r="BI114" s="18" t="s">
        <v>164</v>
      </c>
      <c r="BJ114" s="18" t="s">
        <v>165</v>
      </c>
      <c r="BK114" s="18" t="s">
        <v>163</v>
      </c>
      <c r="BL114" s="18" t="s">
        <v>317</v>
      </c>
      <c r="BM114" s="18" t="s">
        <v>201</v>
      </c>
      <c r="BN114" s="18" t="s">
        <v>201</v>
      </c>
      <c r="BO114" s="18" t="s">
        <v>167</v>
      </c>
      <c r="BP114" s="18" t="s">
        <v>203</v>
      </c>
      <c r="BQ114" s="18" t="s">
        <v>170</v>
      </c>
      <c r="BR114" s="18" t="s">
        <v>230</v>
      </c>
      <c r="BS114" s="18"/>
      <c r="BT114" s="18"/>
      <c r="BU114" s="18" t="s">
        <v>171</v>
      </c>
      <c r="BV114" s="18" t="s">
        <v>231</v>
      </c>
      <c r="BW114" s="18" t="s">
        <v>172</v>
      </c>
      <c r="BX114" s="18" t="s">
        <v>172</v>
      </c>
      <c r="BY114" s="18">
        <v>-5</v>
      </c>
      <c r="BZ114" s="18">
        <v>0</v>
      </c>
      <c r="CA114" s="18" t="s">
        <v>173</v>
      </c>
      <c r="CB114" s="18" t="s">
        <v>387</v>
      </c>
      <c r="CC114" s="18"/>
      <c r="CD114" s="18"/>
      <c r="CE114" s="18"/>
      <c r="CF114" s="18" t="s">
        <v>206</v>
      </c>
      <c r="CG114" s="18">
        <v>70</v>
      </c>
      <c r="CH114" s="18">
        <v>365</v>
      </c>
      <c r="CI114" s="19">
        <v>0.3</v>
      </c>
      <c r="CJ114" s="19">
        <v>0.8</v>
      </c>
      <c r="CK114" s="19">
        <v>0.2</v>
      </c>
      <c r="CL114" s="19">
        <v>0.4</v>
      </c>
      <c r="CM114" s="17" t="s">
        <v>1856</v>
      </c>
      <c r="CN114" s="20">
        <v>8</v>
      </c>
      <c r="CO114" s="20">
        <v>25</v>
      </c>
      <c r="CP114" s="17" t="s">
        <v>1857</v>
      </c>
      <c r="CQ114" s="17" t="s">
        <v>1858</v>
      </c>
      <c r="CR114" s="21">
        <v>4</v>
      </c>
      <c r="CS114" s="21">
        <v>3</v>
      </c>
      <c r="CT114" s="21">
        <v>8</v>
      </c>
      <c r="CU114" s="21">
        <v>3</v>
      </c>
      <c r="CV114" s="21">
        <v>3</v>
      </c>
      <c r="CW114" s="21">
        <v>0</v>
      </c>
      <c r="CX114" s="21">
        <v>4</v>
      </c>
      <c r="CY114" s="21">
        <v>15</v>
      </c>
      <c r="CZ114" s="21">
        <v>6</v>
      </c>
      <c r="DA114" s="21">
        <v>120</v>
      </c>
      <c r="DB114" s="21">
        <v>80</v>
      </c>
      <c r="DC114" s="21">
        <v>250</v>
      </c>
      <c r="DD114" s="21">
        <v>25</v>
      </c>
      <c r="DE114" s="21">
        <v>25</v>
      </c>
      <c r="DF114" s="21">
        <v>0</v>
      </c>
      <c r="DG114" s="21">
        <v>40</v>
      </c>
      <c r="DH114" s="21">
        <v>350</v>
      </c>
      <c r="DI114" s="21">
        <v>100</v>
      </c>
      <c r="DJ114" s="17" t="s">
        <v>837</v>
      </c>
      <c r="DK114" s="17" t="s">
        <v>180</v>
      </c>
      <c r="DL114" s="22">
        <v>75</v>
      </c>
      <c r="DM114" s="17" t="s">
        <v>1865</v>
      </c>
      <c r="DN114" s="23"/>
      <c r="DO114" s="24" t="s">
        <v>182</v>
      </c>
      <c r="DP114" s="25" t="s">
        <v>183</v>
      </c>
      <c r="DQ114" s="25" t="s">
        <v>183</v>
      </c>
      <c r="DR114" s="25" t="s">
        <v>183</v>
      </c>
      <c r="DS114" s="24" t="s">
        <v>182</v>
      </c>
      <c r="DT114" s="23"/>
      <c r="DU114" s="24" t="s">
        <v>182</v>
      </c>
      <c r="DV114" s="25" t="s">
        <v>183</v>
      </c>
      <c r="DW114" s="25" t="s">
        <v>183</v>
      </c>
      <c r="DX114" s="25" t="s">
        <v>183</v>
      </c>
      <c r="DY114" s="24" t="s">
        <v>182</v>
      </c>
      <c r="DZ114" s="17" t="s">
        <v>1866</v>
      </c>
      <c r="EA114" s="17" t="s">
        <v>1831</v>
      </c>
      <c r="EB114" s="43" t="s">
        <v>214</v>
      </c>
      <c r="EC114" s="17" t="s">
        <v>970</v>
      </c>
      <c r="ED114" s="27" t="s">
        <v>1067</v>
      </c>
      <c r="EE114" s="22">
        <v>2</v>
      </c>
      <c r="EF114" s="54" t="s">
        <v>304</v>
      </c>
    </row>
    <row r="115" spans="1:136" ht="15" customHeight="1" x14ac:dyDescent="0.25">
      <c r="A115" s="16" t="s">
        <v>680</v>
      </c>
      <c r="B115" s="29" t="s">
        <v>409</v>
      </c>
      <c r="C115" s="29" t="s">
        <v>681</v>
      </c>
      <c r="D115" s="30">
        <v>31.3</v>
      </c>
      <c r="E115" s="30">
        <v>0.5</v>
      </c>
      <c r="F115" s="30">
        <v>0.1</v>
      </c>
      <c r="G115" s="30">
        <v>4.3</v>
      </c>
      <c r="H115" s="30">
        <v>3.6</v>
      </c>
      <c r="I115" s="30">
        <v>8</v>
      </c>
      <c r="J115" s="30">
        <v>0.23</v>
      </c>
      <c r="K115" s="30">
        <v>6</v>
      </c>
      <c r="L115" s="30">
        <v>11</v>
      </c>
      <c r="M115" s="30">
        <v>80</v>
      </c>
      <c r="N115" s="30">
        <v>2</v>
      </c>
      <c r="O115" s="30">
        <v>0.09</v>
      </c>
      <c r="P115" s="30"/>
      <c r="Q115" s="30"/>
      <c r="R115" s="30">
        <v>0.1</v>
      </c>
      <c r="S115" s="30">
        <v>6</v>
      </c>
      <c r="T115" s="30">
        <v>1.32</v>
      </c>
      <c r="U115" s="30">
        <v>14</v>
      </c>
      <c r="V115" s="30">
        <v>1.2E-2</v>
      </c>
      <c r="W115" s="30">
        <v>0.02</v>
      </c>
      <c r="X115" s="30">
        <v>0.1</v>
      </c>
      <c r="Y115" s="30">
        <v>0.06</v>
      </c>
      <c r="Z115" s="30">
        <v>0</v>
      </c>
      <c r="AA115" s="30">
        <v>1</v>
      </c>
      <c r="AB115" s="31">
        <v>10711</v>
      </c>
      <c r="AC115" s="31" t="s">
        <v>682</v>
      </c>
      <c r="AD115" s="31" t="s">
        <v>683</v>
      </c>
      <c r="AE115" s="31" t="s">
        <v>479</v>
      </c>
      <c r="AF115" s="31"/>
      <c r="AG115" s="31" t="s">
        <v>684</v>
      </c>
      <c r="AH115" s="31" t="s">
        <v>685</v>
      </c>
      <c r="AI115" s="31" t="s">
        <v>226</v>
      </c>
      <c r="AJ115" s="31" t="s">
        <v>686</v>
      </c>
      <c r="AK115" s="31" t="s">
        <v>687</v>
      </c>
      <c r="AL115" s="31" t="s">
        <v>314</v>
      </c>
      <c r="AM115" s="31"/>
      <c r="AN115" s="31" t="s">
        <v>506</v>
      </c>
      <c r="AO115" s="31" t="s">
        <v>419</v>
      </c>
      <c r="AP115" s="31" t="s">
        <v>419</v>
      </c>
      <c r="AQ115" s="31" t="s">
        <v>162</v>
      </c>
      <c r="AR115" s="31">
        <v>16</v>
      </c>
      <c r="AS115" s="31">
        <v>24</v>
      </c>
      <c r="AT115" s="31">
        <v>4</v>
      </c>
      <c r="AU115" s="31">
        <v>27</v>
      </c>
      <c r="AV115" s="31">
        <v>600</v>
      </c>
      <c r="AW115" s="31">
        <v>1000</v>
      </c>
      <c r="AX115" s="31">
        <v>400</v>
      </c>
      <c r="AY115" s="31">
        <v>1300</v>
      </c>
      <c r="AZ115" s="31">
        <v>5</v>
      </c>
      <c r="BA115" s="31">
        <v>5.5</v>
      </c>
      <c r="BB115" s="31">
        <v>4.5</v>
      </c>
      <c r="BC115" s="31">
        <v>6</v>
      </c>
      <c r="BD115" s="31">
        <v>40</v>
      </c>
      <c r="BE115" s="31">
        <v>40</v>
      </c>
      <c r="BF115" s="31">
        <v>50</v>
      </c>
      <c r="BG115" s="31">
        <v>50</v>
      </c>
      <c r="BH115" s="31">
        <v>1000</v>
      </c>
      <c r="BI115" s="31" t="s">
        <v>163</v>
      </c>
      <c r="BJ115" s="31" t="s">
        <v>164</v>
      </c>
      <c r="BK115" s="31" t="s">
        <v>163</v>
      </c>
      <c r="BL115" s="31" t="s">
        <v>165</v>
      </c>
      <c r="BM115" s="31" t="s">
        <v>201</v>
      </c>
      <c r="BN115" s="31" t="s">
        <v>201</v>
      </c>
      <c r="BO115" s="31" t="s">
        <v>250</v>
      </c>
      <c r="BP115" s="31" t="s">
        <v>203</v>
      </c>
      <c r="BQ115" s="31" t="s">
        <v>170</v>
      </c>
      <c r="BR115" s="31" t="s">
        <v>230</v>
      </c>
      <c r="BS115" s="31"/>
      <c r="BT115" s="31"/>
      <c r="BU115" s="31" t="s">
        <v>171</v>
      </c>
      <c r="BV115" s="31" t="s">
        <v>171</v>
      </c>
      <c r="BW115" s="31" t="s">
        <v>172</v>
      </c>
      <c r="BX115" s="31" t="s">
        <v>172</v>
      </c>
      <c r="BY115" s="31">
        <v>-5</v>
      </c>
      <c r="BZ115" s="31">
        <v>-1</v>
      </c>
      <c r="CA115" s="31" t="s">
        <v>173</v>
      </c>
      <c r="CB115" s="31" t="s">
        <v>688</v>
      </c>
      <c r="CC115" s="31"/>
      <c r="CD115" s="31"/>
      <c r="CE115" s="31"/>
      <c r="CF115" s="31"/>
      <c r="CG115" s="31">
        <v>100</v>
      </c>
      <c r="CH115" s="31">
        <v>180</v>
      </c>
      <c r="CI115" s="32">
        <v>0.1</v>
      </c>
      <c r="CJ115" s="32">
        <v>0.3</v>
      </c>
      <c r="CK115" s="32">
        <v>0.3</v>
      </c>
      <c r="CL115" s="32">
        <v>0.9</v>
      </c>
      <c r="CM115" s="33" t="s">
        <v>689</v>
      </c>
      <c r="CN115" s="34">
        <v>5</v>
      </c>
      <c r="CO115" s="34">
        <v>22</v>
      </c>
      <c r="CP115" s="35" t="s">
        <v>690</v>
      </c>
      <c r="CQ115" s="35" t="s">
        <v>539</v>
      </c>
      <c r="CR115" s="36">
        <v>0</v>
      </c>
      <c r="CS115" s="36">
        <v>5</v>
      </c>
      <c r="CT115" s="36">
        <v>8</v>
      </c>
      <c r="CU115" s="36">
        <v>4</v>
      </c>
      <c r="CV115" s="36">
        <v>6</v>
      </c>
      <c r="CW115" s="36">
        <v>5</v>
      </c>
      <c r="CX115" s="36">
        <v>10</v>
      </c>
      <c r="CY115" s="36">
        <v>8</v>
      </c>
      <c r="CZ115" s="36">
        <v>5</v>
      </c>
      <c r="DA115" s="37">
        <v>0</v>
      </c>
      <c r="DB115" s="37">
        <v>60</v>
      </c>
      <c r="DC115" s="37">
        <v>60</v>
      </c>
      <c r="DD115" s="37">
        <v>25</v>
      </c>
      <c r="DE115" s="37">
        <v>40</v>
      </c>
      <c r="DF115" s="37">
        <v>40</v>
      </c>
      <c r="DG115" s="37">
        <v>80</v>
      </c>
      <c r="DH115" s="37">
        <v>200</v>
      </c>
      <c r="DI115" s="37">
        <v>60</v>
      </c>
      <c r="DJ115" s="38" t="s">
        <v>691</v>
      </c>
      <c r="DK115" s="39" t="s">
        <v>409</v>
      </c>
      <c r="DL115" s="40">
        <v>150</v>
      </c>
      <c r="DM115" s="39" t="s">
        <v>692</v>
      </c>
      <c r="DN115" s="41"/>
      <c r="DO115" s="24" t="s">
        <v>182</v>
      </c>
      <c r="DP115" s="25" t="s">
        <v>183</v>
      </c>
      <c r="DQ115" s="25" t="s">
        <v>183</v>
      </c>
      <c r="DR115" s="24" t="s">
        <v>182</v>
      </c>
      <c r="DS115" s="41"/>
      <c r="DT115" s="41"/>
      <c r="DU115" s="41"/>
      <c r="DV115" s="41"/>
      <c r="DW115" s="41"/>
      <c r="DX115" s="41"/>
      <c r="DY115" s="41"/>
      <c r="DZ115" s="42" t="s">
        <v>693</v>
      </c>
      <c r="EA115" s="42" t="s">
        <v>694</v>
      </c>
      <c r="EB115" s="26" t="s">
        <v>186</v>
      </c>
      <c r="EC115" s="44" t="s">
        <v>591</v>
      </c>
      <c r="ED115" s="45" t="s">
        <v>695</v>
      </c>
      <c r="EE115" s="46">
        <v>3</v>
      </c>
      <c r="EF115" s="53" t="s">
        <v>696</v>
      </c>
    </row>
    <row r="116" spans="1:136" ht="15" customHeight="1" x14ac:dyDescent="0.25">
      <c r="A116" s="16" t="s">
        <v>476</v>
      </c>
      <c r="B116" s="17" t="s">
        <v>409</v>
      </c>
      <c r="C116" s="17" t="s">
        <v>477</v>
      </c>
      <c r="D116" s="18">
        <v>57</v>
      </c>
      <c r="E116" s="18">
        <v>0.74</v>
      </c>
      <c r="F116" s="18">
        <v>14.49</v>
      </c>
      <c r="G116" s="18">
        <v>2.4</v>
      </c>
      <c r="H116" s="18">
        <v>0.33</v>
      </c>
      <c r="I116" s="18">
        <v>6</v>
      </c>
      <c r="J116" s="18">
        <v>0.28000000000000003</v>
      </c>
      <c r="K116" s="18">
        <v>6</v>
      </c>
      <c r="L116" s="18">
        <v>12</v>
      </c>
      <c r="M116" s="18">
        <v>77</v>
      </c>
      <c r="N116" s="18">
        <v>1</v>
      </c>
      <c r="O116" s="18">
        <v>0.16</v>
      </c>
      <c r="P116" s="18">
        <v>5.7000000000000002E-2</v>
      </c>
      <c r="Q116" s="18">
        <v>0.33600000000000002</v>
      </c>
      <c r="R116" s="18">
        <v>0.1</v>
      </c>
      <c r="S116" s="18">
        <v>54</v>
      </c>
      <c r="T116" s="18">
        <v>0.56999999999999995</v>
      </c>
      <c r="U116" s="18">
        <v>9.6999999999999993</v>
      </c>
      <c r="V116" s="18">
        <v>3.6999999999999998E-2</v>
      </c>
      <c r="W116" s="18">
        <v>4.1000000000000002E-2</v>
      </c>
      <c r="X116" s="18">
        <v>0.41799999999999998</v>
      </c>
      <c r="Y116" s="18">
        <v>5.1999999999999998E-2</v>
      </c>
      <c r="Z116" s="18">
        <v>0</v>
      </c>
      <c r="AA116" s="18">
        <v>6</v>
      </c>
      <c r="AB116" s="18">
        <v>10714</v>
      </c>
      <c r="AC116" s="18" t="s">
        <v>478</v>
      </c>
      <c r="AD116" s="18" t="s">
        <v>221</v>
      </c>
      <c r="AE116" s="18" t="s">
        <v>479</v>
      </c>
      <c r="AF116" s="18">
        <v>0</v>
      </c>
      <c r="AG116" s="18" t="s">
        <v>480</v>
      </c>
      <c r="AH116" s="18" t="s">
        <v>481</v>
      </c>
      <c r="AI116" s="18" t="s">
        <v>226</v>
      </c>
      <c r="AJ116" s="18" t="s">
        <v>482</v>
      </c>
      <c r="AK116" s="18" t="s">
        <v>157</v>
      </c>
      <c r="AL116" s="18" t="s">
        <v>314</v>
      </c>
      <c r="AM116" s="18">
        <v>0</v>
      </c>
      <c r="AN116" s="18" t="s">
        <v>483</v>
      </c>
      <c r="AO116" s="18" t="s">
        <v>484</v>
      </c>
      <c r="AP116" s="18" t="s">
        <v>419</v>
      </c>
      <c r="AQ116" s="18" t="s">
        <v>485</v>
      </c>
      <c r="AR116" s="18">
        <v>8</v>
      </c>
      <c r="AS116" s="18">
        <v>17</v>
      </c>
      <c r="AT116" s="18">
        <v>5</v>
      </c>
      <c r="AU116" s="18">
        <v>25</v>
      </c>
      <c r="AV116" s="18">
        <v>500</v>
      </c>
      <c r="AW116" s="18">
        <v>700</v>
      </c>
      <c r="AX116" s="18">
        <v>250</v>
      </c>
      <c r="AY116" s="18">
        <v>1700</v>
      </c>
      <c r="AZ116" s="18">
        <v>4.5</v>
      </c>
      <c r="BA116" s="18">
        <v>6</v>
      </c>
      <c r="BB116" s="18">
        <v>4</v>
      </c>
      <c r="BC116" s="18">
        <v>7.5</v>
      </c>
      <c r="BD116" s="18">
        <v>45</v>
      </c>
      <c r="BE116" s="18">
        <v>40</v>
      </c>
      <c r="BF116" s="18">
        <v>65</v>
      </c>
      <c r="BG116" s="18">
        <v>70</v>
      </c>
      <c r="BH116" s="18">
        <v>3500</v>
      </c>
      <c r="BI116" s="18" t="s">
        <v>165</v>
      </c>
      <c r="BJ116" s="18" t="s">
        <v>163</v>
      </c>
      <c r="BK116" s="18" t="s">
        <v>317</v>
      </c>
      <c r="BL116" s="18" t="s">
        <v>163</v>
      </c>
      <c r="BM116" s="18" t="s">
        <v>166</v>
      </c>
      <c r="BN116" s="18" t="s">
        <v>201</v>
      </c>
      <c r="BO116" s="51" t="s">
        <v>486</v>
      </c>
      <c r="BP116" s="51" t="s">
        <v>229</v>
      </c>
      <c r="BQ116" s="51" t="s">
        <v>169</v>
      </c>
      <c r="BR116" s="51" t="s">
        <v>170</v>
      </c>
      <c r="BS116" s="51">
        <v>0</v>
      </c>
      <c r="BT116" s="51">
        <v>0</v>
      </c>
      <c r="BU116" s="51" t="s">
        <v>171</v>
      </c>
      <c r="BV116" s="51" t="s">
        <v>171</v>
      </c>
      <c r="BW116" s="51">
        <v>0</v>
      </c>
      <c r="BX116" s="51">
        <v>0</v>
      </c>
      <c r="BY116" s="51">
        <v>0</v>
      </c>
      <c r="BZ116" s="51">
        <v>0</v>
      </c>
      <c r="CA116" s="51">
        <v>0</v>
      </c>
      <c r="CB116" s="51" t="s">
        <v>487</v>
      </c>
      <c r="CC116" s="51">
        <v>0</v>
      </c>
      <c r="CD116" s="51">
        <v>0</v>
      </c>
      <c r="CE116" s="51">
        <v>0</v>
      </c>
      <c r="CF116" s="51">
        <v>0</v>
      </c>
      <c r="CG116" s="51">
        <v>0</v>
      </c>
      <c r="CH116" s="51">
        <v>0</v>
      </c>
      <c r="CI116" s="19">
        <v>0.1</v>
      </c>
      <c r="CJ116" s="19">
        <v>0.5</v>
      </c>
      <c r="CK116" s="19">
        <v>0.3</v>
      </c>
      <c r="CL116" s="19">
        <v>0.8</v>
      </c>
      <c r="CM116" s="17" t="s">
        <v>488</v>
      </c>
      <c r="CN116" s="20">
        <v>0.5</v>
      </c>
      <c r="CO116" s="20">
        <v>4</v>
      </c>
      <c r="CP116" s="17" t="s">
        <v>489</v>
      </c>
      <c r="CQ116" s="17" t="s">
        <v>490</v>
      </c>
      <c r="CR116" s="21">
        <v>0</v>
      </c>
      <c r="CS116" s="21">
        <v>0</v>
      </c>
      <c r="CT116" s="21">
        <v>5</v>
      </c>
      <c r="CU116" s="21">
        <v>2</v>
      </c>
      <c r="CV116" s="21">
        <v>3</v>
      </c>
      <c r="CW116" s="21">
        <v>5</v>
      </c>
      <c r="CX116" s="21">
        <v>2</v>
      </c>
      <c r="CY116" s="21">
        <v>20</v>
      </c>
      <c r="CZ116" s="21">
        <v>5</v>
      </c>
      <c r="DA116" s="21">
        <v>0</v>
      </c>
      <c r="DB116" s="21">
        <v>0</v>
      </c>
      <c r="DC116" s="21">
        <v>30</v>
      </c>
      <c r="DD116" s="21">
        <v>15</v>
      </c>
      <c r="DE116" s="21">
        <v>20</v>
      </c>
      <c r="DF116" s="21">
        <v>40</v>
      </c>
      <c r="DG116" s="21">
        <v>15</v>
      </c>
      <c r="DH116" s="21">
        <v>400</v>
      </c>
      <c r="DI116" s="21">
        <v>50</v>
      </c>
      <c r="DJ116" s="17" t="s">
        <v>491</v>
      </c>
      <c r="DK116" s="17" t="s">
        <v>409</v>
      </c>
      <c r="DL116" s="22">
        <v>150</v>
      </c>
      <c r="DM116" s="17" t="s">
        <v>492</v>
      </c>
      <c r="DN116" s="25" t="s">
        <v>183</v>
      </c>
      <c r="DO116" s="25" t="s">
        <v>183</v>
      </c>
      <c r="DP116" s="24" t="s">
        <v>182</v>
      </c>
      <c r="DQ116" s="23"/>
      <c r="DR116" s="23"/>
      <c r="DS116" s="23"/>
      <c r="DT116" s="23"/>
      <c r="DU116" s="23"/>
      <c r="DV116" s="23"/>
      <c r="DW116" s="23"/>
      <c r="DX116" s="23"/>
      <c r="DY116" s="24" t="s">
        <v>182</v>
      </c>
      <c r="DZ116" s="17" t="s">
        <v>493</v>
      </c>
      <c r="EA116" s="17" t="s">
        <v>494</v>
      </c>
      <c r="EB116" s="52" t="s">
        <v>301</v>
      </c>
      <c r="EC116" s="17" t="s">
        <v>495</v>
      </c>
      <c r="ED116" s="27" t="s">
        <v>496</v>
      </c>
      <c r="EE116" s="22">
        <v>5</v>
      </c>
      <c r="EF116" s="55" t="s">
        <v>497</v>
      </c>
    </row>
    <row r="117" spans="1:136" ht="15" customHeight="1" x14ac:dyDescent="0.25">
      <c r="A117" s="16" t="s">
        <v>1431</v>
      </c>
      <c r="B117" s="17" t="s">
        <v>409</v>
      </c>
      <c r="C117" s="17" t="s">
        <v>1432</v>
      </c>
      <c r="D117" s="18">
        <v>31.1</v>
      </c>
      <c r="E117" s="18">
        <v>0.6</v>
      </c>
      <c r="F117" s="18">
        <v>0</v>
      </c>
      <c r="G117" s="18">
        <v>7.1</v>
      </c>
      <c r="H117" s="18">
        <v>0.4</v>
      </c>
      <c r="I117" s="18">
        <v>5</v>
      </c>
      <c r="J117" s="18">
        <v>0.1</v>
      </c>
      <c r="K117" s="18">
        <v>12</v>
      </c>
      <c r="L117" s="18">
        <v>14</v>
      </c>
      <c r="M117" s="18">
        <v>122</v>
      </c>
      <c r="N117" s="18">
        <v>3</v>
      </c>
      <c r="O117" s="18">
        <v>0.06</v>
      </c>
      <c r="P117" s="18">
        <v>2.9000000000000001E-2</v>
      </c>
      <c r="Q117" s="18">
        <v>0.04</v>
      </c>
      <c r="R117" s="18">
        <v>0.1</v>
      </c>
      <c r="S117" s="18">
        <v>46</v>
      </c>
      <c r="T117" s="18">
        <v>0</v>
      </c>
      <c r="U117" s="18">
        <v>4</v>
      </c>
      <c r="V117" s="18">
        <v>0.02</v>
      </c>
      <c r="W117" s="18">
        <v>0</v>
      </c>
      <c r="X117" s="18">
        <v>0</v>
      </c>
      <c r="Y117" s="18">
        <v>0</v>
      </c>
      <c r="Z117" s="18">
        <v>0</v>
      </c>
      <c r="AA117" s="18">
        <v>0</v>
      </c>
      <c r="AB117" s="18">
        <v>708</v>
      </c>
      <c r="AC117" s="18" t="s">
        <v>1433</v>
      </c>
      <c r="AD117" s="18" t="s">
        <v>1434</v>
      </c>
      <c r="AE117" s="18" t="s">
        <v>501</v>
      </c>
      <c r="AF117" s="18" t="s">
        <v>1435</v>
      </c>
      <c r="AG117" s="18" t="s">
        <v>1436</v>
      </c>
      <c r="AH117" s="18" t="s">
        <v>1437</v>
      </c>
      <c r="AI117" s="18" t="s">
        <v>226</v>
      </c>
      <c r="AJ117" s="18" t="s">
        <v>504</v>
      </c>
      <c r="AK117" s="18" t="s">
        <v>687</v>
      </c>
      <c r="AL117" s="18" t="s">
        <v>282</v>
      </c>
      <c r="AM117" s="18" t="s">
        <v>283</v>
      </c>
      <c r="AN117" s="18" t="s">
        <v>506</v>
      </c>
      <c r="AO117" s="18" t="s">
        <v>933</v>
      </c>
      <c r="AP117" s="18" t="s">
        <v>419</v>
      </c>
      <c r="AQ117" s="18" t="s">
        <v>287</v>
      </c>
      <c r="AR117" s="18">
        <v>20</v>
      </c>
      <c r="AS117" s="18">
        <v>35</v>
      </c>
      <c r="AT117" s="18">
        <v>15</v>
      </c>
      <c r="AU117" s="18">
        <v>40</v>
      </c>
      <c r="AV117" s="18">
        <v>500</v>
      </c>
      <c r="AW117" s="18">
        <v>700</v>
      </c>
      <c r="AX117" s="18">
        <v>400</v>
      </c>
      <c r="AY117" s="18">
        <v>1800</v>
      </c>
      <c r="AZ117" s="18">
        <v>6</v>
      </c>
      <c r="BA117" s="18">
        <v>7</v>
      </c>
      <c r="BB117" s="18">
        <v>5.5</v>
      </c>
      <c r="BC117" s="18">
        <v>7.5</v>
      </c>
      <c r="BD117" s="18">
        <v>20</v>
      </c>
      <c r="BE117" s="18">
        <v>10</v>
      </c>
      <c r="BF117" s="18">
        <v>43</v>
      </c>
      <c r="BG117" s="18">
        <v>43</v>
      </c>
      <c r="BH117" s="18">
        <v>1000</v>
      </c>
      <c r="BI117" s="18" t="s">
        <v>164</v>
      </c>
      <c r="BJ117" s="18" t="s">
        <v>163</v>
      </c>
      <c r="BK117" s="18" t="s">
        <v>165</v>
      </c>
      <c r="BL117" s="18" t="s">
        <v>163</v>
      </c>
      <c r="BM117" s="18" t="s">
        <v>288</v>
      </c>
      <c r="BN117" s="18" t="s">
        <v>166</v>
      </c>
      <c r="BO117" s="18" t="s">
        <v>202</v>
      </c>
      <c r="BP117" s="18" t="s">
        <v>1438</v>
      </c>
      <c r="BQ117" s="18" t="s">
        <v>169</v>
      </c>
      <c r="BR117" s="18" t="s">
        <v>230</v>
      </c>
      <c r="BS117" s="18"/>
      <c r="BT117" s="18"/>
      <c r="BU117" s="18" t="s">
        <v>171</v>
      </c>
      <c r="BV117" s="18" t="s">
        <v>231</v>
      </c>
      <c r="BW117" s="18" t="s">
        <v>172</v>
      </c>
      <c r="BX117" s="18" t="s">
        <v>1439</v>
      </c>
      <c r="BY117" s="18"/>
      <c r="BZ117" s="18"/>
      <c r="CA117" s="18" t="s">
        <v>204</v>
      </c>
      <c r="CB117" s="18" t="s">
        <v>979</v>
      </c>
      <c r="CC117" s="18"/>
      <c r="CD117" s="18" t="s">
        <v>252</v>
      </c>
      <c r="CE117" s="18"/>
      <c r="CF117" s="18" t="s">
        <v>850</v>
      </c>
      <c r="CG117" s="18">
        <v>0</v>
      </c>
      <c r="CH117" s="18">
        <v>0</v>
      </c>
      <c r="CI117" s="32">
        <v>0.3</v>
      </c>
      <c r="CJ117" s="32">
        <v>0.6</v>
      </c>
      <c r="CK117" s="32">
        <v>2</v>
      </c>
      <c r="CL117" s="32">
        <v>5</v>
      </c>
      <c r="CM117" s="33" t="s">
        <v>1440</v>
      </c>
      <c r="CN117" s="34">
        <v>15</v>
      </c>
      <c r="CO117" s="34">
        <v>80</v>
      </c>
      <c r="CP117" s="35" t="s">
        <v>1441</v>
      </c>
      <c r="CQ117" s="35" t="s">
        <v>209</v>
      </c>
      <c r="CR117" s="36">
        <v>5</v>
      </c>
      <c r="CS117" s="36">
        <v>5</v>
      </c>
      <c r="CT117" s="36">
        <v>6</v>
      </c>
      <c r="CU117" s="36">
        <v>3</v>
      </c>
      <c r="CV117" s="36">
        <v>5</v>
      </c>
      <c r="CW117" s="36">
        <v>3</v>
      </c>
      <c r="CX117" s="36">
        <v>5</v>
      </c>
      <c r="CY117" s="36">
        <v>10</v>
      </c>
      <c r="CZ117" s="36">
        <v>5</v>
      </c>
      <c r="DA117" s="37">
        <v>130</v>
      </c>
      <c r="DB117" s="37">
        <v>120</v>
      </c>
      <c r="DC117" s="37">
        <v>180</v>
      </c>
      <c r="DD117" s="37">
        <v>25</v>
      </c>
      <c r="DE117" s="37">
        <v>40</v>
      </c>
      <c r="DF117" s="37">
        <v>30</v>
      </c>
      <c r="DG117" s="37">
        <v>50</v>
      </c>
      <c r="DH117" s="37">
        <v>250</v>
      </c>
      <c r="DI117" s="37">
        <v>80</v>
      </c>
      <c r="DJ117" s="38" t="s">
        <v>1442</v>
      </c>
      <c r="DK117" s="39" t="s">
        <v>409</v>
      </c>
      <c r="DL117" s="40">
        <v>150</v>
      </c>
      <c r="DM117" s="39" t="s">
        <v>1443</v>
      </c>
      <c r="DN117" s="25" t="s">
        <v>183</v>
      </c>
      <c r="DO117" s="25" t="s">
        <v>183</v>
      </c>
      <c r="DP117" s="24" t="s">
        <v>182</v>
      </c>
      <c r="DQ117" s="41"/>
      <c r="DR117" s="41"/>
      <c r="DS117" s="41"/>
      <c r="DT117" s="41"/>
      <c r="DU117" s="41"/>
      <c r="DV117" s="41"/>
      <c r="DW117" s="41"/>
      <c r="DX117" s="24" t="s">
        <v>182</v>
      </c>
      <c r="DY117" s="25" t="s">
        <v>183</v>
      </c>
      <c r="DZ117" s="42" t="s">
        <v>1444</v>
      </c>
      <c r="EA117" s="42" t="s">
        <v>1445</v>
      </c>
      <c r="EB117" s="26" t="s">
        <v>186</v>
      </c>
      <c r="EC117" s="44" t="s">
        <v>1446</v>
      </c>
      <c r="ED117" s="45" t="s">
        <v>353</v>
      </c>
      <c r="EE117" s="46">
        <v>2</v>
      </c>
      <c r="EF117" s="53" t="s">
        <v>275</v>
      </c>
    </row>
    <row r="118" spans="1:136" ht="15" customHeight="1" x14ac:dyDescent="0.25">
      <c r="A118" s="16" t="s">
        <v>784</v>
      </c>
      <c r="B118" s="17" t="s">
        <v>409</v>
      </c>
      <c r="C118" s="17" t="s">
        <v>785</v>
      </c>
      <c r="D118" s="18">
        <v>20.3</v>
      </c>
      <c r="E118" s="18">
        <v>1</v>
      </c>
      <c r="F118" s="18">
        <v>0.2</v>
      </c>
      <c r="G118" s="18">
        <v>2.6</v>
      </c>
      <c r="H118" s="18">
        <v>2.6</v>
      </c>
      <c r="I118" s="18">
        <v>16</v>
      </c>
      <c r="J118" s="18">
        <v>0.22</v>
      </c>
      <c r="K118" s="18">
        <v>12</v>
      </c>
      <c r="L118" s="18">
        <v>25</v>
      </c>
      <c r="M118" s="18">
        <v>190</v>
      </c>
      <c r="N118" s="18">
        <v>7</v>
      </c>
      <c r="O118" s="18">
        <v>0.12</v>
      </c>
      <c r="P118" s="18">
        <v>5.3999999999999999E-2</v>
      </c>
      <c r="Q118" s="18">
        <v>0.13</v>
      </c>
      <c r="R118" s="18">
        <v>0</v>
      </c>
      <c r="S118" s="18">
        <v>6</v>
      </c>
      <c r="T118" s="18">
        <v>1.4</v>
      </c>
      <c r="U118" s="18">
        <v>2</v>
      </c>
      <c r="V118" s="18">
        <v>0.04</v>
      </c>
      <c r="W118" s="18">
        <v>3.5000000000000003E-2</v>
      </c>
      <c r="X118" s="18">
        <v>0.55000000000000004</v>
      </c>
      <c r="Y118" s="18">
        <v>0.88</v>
      </c>
      <c r="Z118" s="18">
        <v>0</v>
      </c>
      <c r="AA118" s="18">
        <v>6</v>
      </c>
      <c r="AB118" s="18">
        <v>1965</v>
      </c>
      <c r="AC118" s="18" t="s">
        <v>786</v>
      </c>
      <c r="AD118" s="18" t="s">
        <v>221</v>
      </c>
      <c r="AE118" s="18" t="s">
        <v>579</v>
      </c>
      <c r="AF118" s="18" t="s">
        <v>787</v>
      </c>
      <c r="AG118" s="18" t="s">
        <v>788</v>
      </c>
      <c r="AH118" s="18" t="s">
        <v>789</v>
      </c>
      <c r="AI118" s="18" t="s">
        <v>155</v>
      </c>
      <c r="AJ118" s="18" t="s">
        <v>156</v>
      </c>
      <c r="AK118" s="18" t="s">
        <v>157</v>
      </c>
      <c r="AL118" s="18" t="s">
        <v>282</v>
      </c>
      <c r="AM118" s="18" t="s">
        <v>283</v>
      </c>
      <c r="AN118" s="18" t="s">
        <v>160</v>
      </c>
      <c r="AO118" s="18" t="s">
        <v>228</v>
      </c>
      <c r="AP118" s="18" t="s">
        <v>161</v>
      </c>
      <c r="AQ118" s="18" t="s">
        <v>162</v>
      </c>
      <c r="AR118" s="18">
        <v>20</v>
      </c>
      <c r="AS118" s="18">
        <v>35</v>
      </c>
      <c r="AT118" s="18">
        <v>9</v>
      </c>
      <c r="AU118" s="18">
        <v>40</v>
      </c>
      <c r="AV118" s="18">
        <v>1200</v>
      </c>
      <c r="AW118" s="18">
        <v>1600</v>
      </c>
      <c r="AX118" s="18">
        <v>800</v>
      </c>
      <c r="AY118" s="18">
        <v>4000</v>
      </c>
      <c r="AZ118" s="18">
        <v>5.5</v>
      </c>
      <c r="BA118" s="18">
        <v>6.8</v>
      </c>
      <c r="BB118" s="18">
        <v>4.3</v>
      </c>
      <c r="BC118" s="18">
        <v>8.5</v>
      </c>
      <c r="BD118" s="18"/>
      <c r="BE118" s="18"/>
      <c r="BF118" s="18"/>
      <c r="BG118" s="18">
        <v>2200</v>
      </c>
      <c r="BH118" s="18">
        <v>50</v>
      </c>
      <c r="BI118" s="18" t="s">
        <v>163</v>
      </c>
      <c r="BJ118" s="18" t="s">
        <v>163</v>
      </c>
      <c r="BK118" s="18" t="s">
        <v>163</v>
      </c>
      <c r="BL118" s="18" t="s">
        <v>165</v>
      </c>
      <c r="BM118" s="18" t="s">
        <v>166</v>
      </c>
      <c r="BN118" s="18" t="s">
        <v>166</v>
      </c>
      <c r="BO118" s="18" t="s">
        <v>167</v>
      </c>
      <c r="BP118" s="18" t="s">
        <v>203</v>
      </c>
      <c r="BQ118" s="18" t="s">
        <v>169</v>
      </c>
      <c r="BR118" s="18" t="s">
        <v>170</v>
      </c>
      <c r="BS118" s="18"/>
      <c r="BT118" s="18"/>
      <c r="BU118" s="18" t="s">
        <v>171</v>
      </c>
      <c r="BV118" s="18" t="s">
        <v>171</v>
      </c>
      <c r="BW118" s="18" t="s">
        <v>172</v>
      </c>
      <c r="BX118" s="18" t="s">
        <v>172</v>
      </c>
      <c r="BY118" s="18"/>
      <c r="BZ118" s="18"/>
      <c r="CA118" s="18" t="s">
        <v>173</v>
      </c>
      <c r="CB118" s="18" t="s">
        <v>790</v>
      </c>
      <c r="CC118" s="18"/>
      <c r="CD118" s="18"/>
      <c r="CE118" s="18"/>
      <c r="CF118" s="18" t="s">
        <v>703</v>
      </c>
      <c r="CG118" s="18">
        <v>70</v>
      </c>
      <c r="CH118" s="18">
        <v>120</v>
      </c>
      <c r="CI118" s="19">
        <v>0.5</v>
      </c>
      <c r="CJ118" s="19">
        <v>1.5</v>
      </c>
      <c r="CK118" s="19">
        <v>0.4</v>
      </c>
      <c r="CL118" s="19">
        <v>0.8</v>
      </c>
      <c r="CM118" s="17" t="s">
        <v>294</v>
      </c>
      <c r="CN118" s="20">
        <v>8</v>
      </c>
      <c r="CO118" s="20">
        <v>50</v>
      </c>
      <c r="CP118" s="17" t="s">
        <v>791</v>
      </c>
      <c r="CQ118" s="17" t="s">
        <v>209</v>
      </c>
      <c r="CR118" s="21">
        <v>5</v>
      </c>
      <c r="CS118" s="21">
        <v>8</v>
      </c>
      <c r="CT118" s="21">
        <v>8</v>
      </c>
      <c r="CU118" s="21">
        <v>4</v>
      </c>
      <c r="CV118" s="21">
        <v>6</v>
      </c>
      <c r="CW118" s="21">
        <v>5</v>
      </c>
      <c r="CX118" s="21">
        <v>5</v>
      </c>
      <c r="CY118" s="21">
        <v>20</v>
      </c>
      <c r="CZ118" s="21">
        <v>6</v>
      </c>
      <c r="DA118" s="21">
        <v>140</v>
      </c>
      <c r="DB118" s="21">
        <v>180</v>
      </c>
      <c r="DC118" s="21">
        <v>250</v>
      </c>
      <c r="DD118" s="21">
        <v>30</v>
      </c>
      <c r="DE118" s="21">
        <v>50</v>
      </c>
      <c r="DF118" s="21">
        <v>50</v>
      </c>
      <c r="DG118" s="21">
        <v>50</v>
      </c>
      <c r="DH118" s="21">
        <v>450</v>
      </c>
      <c r="DI118" s="21">
        <v>100</v>
      </c>
      <c r="DJ118" s="17" t="s">
        <v>792</v>
      </c>
      <c r="DK118" s="17" t="s">
        <v>180</v>
      </c>
      <c r="DL118" s="22">
        <v>75</v>
      </c>
      <c r="DM118" s="17" t="s">
        <v>793</v>
      </c>
      <c r="DN118" s="25" t="s">
        <v>183</v>
      </c>
      <c r="DO118" s="25" t="s">
        <v>183</v>
      </c>
      <c r="DP118" s="25" t="s">
        <v>183</v>
      </c>
      <c r="DQ118" s="24" t="s">
        <v>182</v>
      </c>
      <c r="DR118" s="23"/>
      <c r="DS118" s="23"/>
      <c r="DT118" s="23"/>
      <c r="DU118" s="23"/>
      <c r="DV118" s="23"/>
      <c r="DW118" s="23"/>
      <c r="DX118" s="24" t="s">
        <v>182</v>
      </c>
      <c r="DY118" s="25" t="s">
        <v>183</v>
      </c>
      <c r="DZ118" s="17" t="s">
        <v>794</v>
      </c>
      <c r="EA118" s="17" t="s">
        <v>543</v>
      </c>
      <c r="EB118" s="43" t="s">
        <v>214</v>
      </c>
      <c r="EC118" s="17" t="s">
        <v>795</v>
      </c>
      <c r="ED118" s="27" t="s">
        <v>474</v>
      </c>
      <c r="EE118" s="22">
        <v>3</v>
      </c>
      <c r="EF118" s="54" t="s">
        <v>304</v>
      </c>
    </row>
    <row r="119" spans="1:136" ht="15" customHeight="1" x14ac:dyDescent="0.25">
      <c r="A119" s="16" t="s">
        <v>1885</v>
      </c>
      <c r="B119" s="29" t="s">
        <v>1700</v>
      </c>
      <c r="C119" s="29" t="s">
        <v>1886</v>
      </c>
      <c r="D119" s="30">
        <v>20.8</v>
      </c>
      <c r="E119" s="30">
        <v>2.1</v>
      </c>
      <c r="F119" s="30">
        <v>0.2</v>
      </c>
      <c r="G119" s="30">
        <v>1.4</v>
      </c>
      <c r="H119" s="30">
        <v>2.2999999999999998</v>
      </c>
      <c r="I119" s="30">
        <v>72</v>
      </c>
      <c r="J119" s="30">
        <v>1.75</v>
      </c>
      <c r="K119" s="30">
        <v>37</v>
      </c>
      <c r="L119" s="30">
        <v>44</v>
      </c>
      <c r="M119" s="30">
        <v>295</v>
      </c>
      <c r="N119" s="30">
        <v>158</v>
      </c>
      <c r="O119" s="30">
        <v>0.56999999999999995</v>
      </c>
      <c r="P119" s="30">
        <v>0.155</v>
      </c>
      <c r="Q119" s="30">
        <v>1.0249999999999999</v>
      </c>
      <c r="R119" s="30">
        <v>0</v>
      </c>
      <c r="S119" s="30">
        <v>250</v>
      </c>
      <c r="T119" s="30">
        <v>0.68</v>
      </c>
      <c r="U119" s="30">
        <v>13</v>
      </c>
      <c r="V119" s="30">
        <v>0.03</v>
      </c>
      <c r="W119" s="30">
        <v>0.115</v>
      </c>
      <c r="X119" s="30">
        <v>0.1</v>
      </c>
      <c r="Y119" s="30">
        <v>0.48</v>
      </c>
      <c r="Z119" s="30">
        <v>0</v>
      </c>
      <c r="AA119" s="30">
        <v>133</v>
      </c>
      <c r="AB119" s="31">
        <v>514</v>
      </c>
      <c r="AC119" s="31" t="s">
        <v>1887</v>
      </c>
      <c r="AD119" s="31" t="s">
        <v>221</v>
      </c>
      <c r="AE119" s="31" t="s">
        <v>1567</v>
      </c>
      <c r="AF119" s="31"/>
      <c r="AG119" s="31" t="s">
        <v>1888</v>
      </c>
      <c r="AH119" s="31" t="s">
        <v>1889</v>
      </c>
      <c r="AI119" s="31" t="s">
        <v>155</v>
      </c>
      <c r="AJ119" s="31" t="s">
        <v>156</v>
      </c>
      <c r="AK119" s="31" t="s">
        <v>1357</v>
      </c>
      <c r="AL119" s="31" t="s">
        <v>227</v>
      </c>
      <c r="AM119" s="31"/>
      <c r="AN119" s="31" t="s">
        <v>160</v>
      </c>
      <c r="AO119" s="31" t="s">
        <v>1890</v>
      </c>
      <c r="AP119" s="31" t="s">
        <v>316</v>
      </c>
      <c r="AQ119" s="31" t="s">
        <v>162</v>
      </c>
      <c r="AR119" s="31">
        <v>15</v>
      </c>
      <c r="AS119" s="31">
        <v>25</v>
      </c>
      <c r="AT119" s="31">
        <v>4</v>
      </c>
      <c r="AU119" s="31">
        <v>35</v>
      </c>
      <c r="AV119" s="31">
        <v>600</v>
      </c>
      <c r="AW119" s="31">
        <v>800</v>
      </c>
      <c r="AX119" s="31">
        <v>500</v>
      </c>
      <c r="AY119" s="31">
        <v>1000</v>
      </c>
      <c r="AZ119" s="31">
        <v>6</v>
      </c>
      <c r="BA119" s="31">
        <v>7</v>
      </c>
      <c r="BB119" s="31">
        <v>5.5</v>
      </c>
      <c r="BC119" s="31">
        <v>7.5</v>
      </c>
      <c r="BD119" s="31">
        <v>30</v>
      </c>
      <c r="BE119" s="31"/>
      <c r="BF119" s="31">
        <v>45</v>
      </c>
      <c r="BG119" s="31">
        <v>60</v>
      </c>
      <c r="BH119" s="31"/>
      <c r="BI119" s="31" t="s">
        <v>163</v>
      </c>
      <c r="BJ119" s="31" t="s">
        <v>317</v>
      </c>
      <c r="BK119" s="31" t="s">
        <v>163</v>
      </c>
      <c r="BL119" s="31" t="s">
        <v>317</v>
      </c>
      <c r="BM119" s="31" t="s">
        <v>166</v>
      </c>
      <c r="BN119" s="31" t="s">
        <v>201</v>
      </c>
      <c r="BO119" s="31" t="s">
        <v>168</v>
      </c>
      <c r="BP119" s="31" t="s">
        <v>203</v>
      </c>
      <c r="BQ119" s="31" t="s">
        <v>169</v>
      </c>
      <c r="BR119" s="31" t="s">
        <v>170</v>
      </c>
      <c r="BS119" s="31"/>
      <c r="BT119" s="31"/>
      <c r="BU119" s="31" t="s">
        <v>171</v>
      </c>
      <c r="BV119" s="31" t="s">
        <v>231</v>
      </c>
      <c r="BW119" s="31" t="s">
        <v>172</v>
      </c>
      <c r="BX119" s="31" t="s">
        <v>172</v>
      </c>
      <c r="BY119" s="31">
        <v>-3</v>
      </c>
      <c r="BZ119" s="31">
        <v>0</v>
      </c>
      <c r="CA119" s="31" t="s">
        <v>204</v>
      </c>
      <c r="CB119" s="31" t="s">
        <v>1754</v>
      </c>
      <c r="CC119" s="31"/>
      <c r="CD119" s="31"/>
      <c r="CE119" s="31"/>
      <c r="CF119" s="31"/>
      <c r="CG119" s="31">
        <v>160</v>
      </c>
      <c r="CH119" s="31">
        <v>240</v>
      </c>
      <c r="CI119" s="32">
        <v>0.4</v>
      </c>
      <c r="CJ119" s="32">
        <v>1</v>
      </c>
      <c r="CK119" s="32">
        <v>0.3</v>
      </c>
      <c r="CL119" s="32">
        <v>0.6</v>
      </c>
      <c r="CM119" s="33" t="s">
        <v>267</v>
      </c>
      <c r="CN119" s="34">
        <v>15</v>
      </c>
      <c r="CO119" s="34">
        <v>50</v>
      </c>
      <c r="CP119" s="35" t="s">
        <v>1891</v>
      </c>
      <c r="CQ119" s="35" t="s">
        <v>209</v>
      </c>
      <c r="CR119" s="36">
        <v>4</v>
      </c>
      <c r="CS119" s="36">
        <v>3</v>
      </c>
      <c r="CT119" s="36">
        <v>5</v>
      </c>
      <c r="CU119" s="36">
        <v>3</v>
      </c>
      <c r="CV119" s="36">
        <v>3</v>
      </c>
      <c r="CW119" s="36">
        <v>0</v>
      </c>
      <c r="CX119" s="36">
        <v>4</v>
      </c>
      <c r="CY119" s="36">
        <v>15</v>
      </c>
      <c r="CZ119" s="36">
        <v>6</v>
      </c>
      <c r="DA119" s="37">
        <v>120</v>
      </c>
      <c r="DB119" s="37">
        <v>80</v>
      </c>
      <c r="DC119" s="37">
        <v>160</v>
      </c>
      <c r="DD119" s="37">
        <v>20</v>
      </c>
      <c r="DE119" s="37">
        <v>20</v>
      </c>
      <c r="DF119" s="37">
        <v>0</v>
      </c>
      <c r="DG119" s="37">
        <v>40</v>
      </c>
      <c r="DH119" s="37">
        <v>350</v>
      </c>
      <c r="DI119" s="37">
        <v>100</v>
      </c>
      <c r="DJ119" s="38" t="s">
        <v>1892</v>
      </c>
      <c r="DK119" s="39" t="s">
        <v>180</v>
      </c>
      <c r="DL119" s="40">
        <v>75</v>
      </c>
      <c r="DM119" s="39" t="s">
        <v>1893</v>
      </c>
      <c r="DN119" s="41"/>
      <c r="DO119" s="41"/>
      <c r="DP119" s="41"/>
      <c r="DQ119" s="24" t="s">
        <v>182</v>
      </c>
      <c r="DR119" s="25" t="s">
        <v>183</v>
      </c>
      <c r="DS119" s="25" t="s">
        <v>183</v>
      </c>
      <c r="DT119" s="25" t="s">
        <v>183</v>
      </c>
      <c r="DU119" s="25" t="s">
        <v>183</v>
      </c>
      <c r="DV119" s="25" t="s">
        <v>183</v>
      </c>
      <c r="DW119" s="25" t="s">
        <v>183</v>
      </c>
      <c r="DX119" s="24" t="s">
        <v>182</v>
      </c>
      <c r="DY119" s="24" t="s">
        <v>182</v>
      </c>
      <c r="DZ119" s="42" t="s">
        <v>1894</v>
      </c>
      <c r="EA119" s="42" t="s">
        <v>379</v>
      </c>
      <c r="EB119" s="43" t="s">
        <v>214</v>
      </c>
      <c r="EC119" s="44" t="s">
        <v>370</v>
      </c>
      <c r="ED119" s="45" t="s">
        <v>371</v>
      </c>
      <c r="EE119" s="46">
        <v>2</v>
      </c>
      <c r="EF119" s="47" t="s">
        <v>304</v>
      </c>
    </row>
    <row r="120" spans="1:136" ht="15" customHeight="1" x14ac:dyDescent="0.25">
      <c r="A120" s="16" t="s">
        <v>1110</v>
      </c>
      <c r="B120" s="29" t="s">
        <v>409</v>
      </c>
      <c r="C120" s="29" t="s">
        <v>1111</v>
      </c>
      <c r="D120" s="30">
        <v>79.099999999999994</v>
      </c>
      <c r="E120" s="30">
        <v>2.8</v>
      </c>
      <c r="F120" s="30">
        <v>1.4</v>
      </c>
      <c r="G120" s="30">
        <v>6.9</v>
      </c>
      <c r="H120" s="30">
        <v>11</v>
      </c>
      <c r="I120" s="30">
        <v>9</v>
      </c>
      <c r="J120" s="30">
        <v>0.6</v>
      </c>
      <c r="K120" s="30">
        <v>30</v>
      </c>
      <c r="L120" s="30">
        <v>53</v>
      </c>
      <c r="M120" s="30">
        <v>245</v>
      </c>
      <c r="N120" s="30">
        <v>13</v>
      </c>
      <c r="O120" s="30">
        <v>0.7</v>
      </c>
      <c r="P120" s="30">
        <v>0.21</v>
      </c>
      <c r="Q120" s="30">
        <v>0.2</v>
      </c>
      <c r="R120" s="30">
        <v>0</v>
      </c>
      <c r="S120" s="30">
        <v>98</v>
      </c>
      <c r="T120" s="30">
        <v>0.35</v>
      </c>
      <c r="U120" s="30">
        <v>14</v>
      </c>
      <c r="V120" s="30">
        <v>1.4999999999999999E-2</v>
      </c>
      <c r="W120" s="30">
        <v>0.14000000000000001</v>
      </c>
      <c r="X120" s="30">
        <v>2.2000000000000002</v>
      </c>
      <c r="Y120" s="30">
        <v>0.48</v>
      </c>
      <c r="Z120" s="30">
        <v>0</v>
      </c>
      <c r="AA120" s="30">
        <v>14</v>
      </c>
      <c r="AB120" s="31">
        <v>1633</v>
      </c>
      <c r="AC120" s="31" t="s">
        <v>1112</v>
      </c>
      <c r="AD120" s="31" t="s">
        <v>1113</v>
      </c>
      <c r="AE120" s="31" t="s">
        <v>1114</v>
      </c>
      <c r="AF120" s="31"/>
      <c r="AG120" s="31" t="s">
        <v>1115</v>
      </c>
      <c r="AH120" s="31" t="s">
        <v>1116</v>
      </c>
      <c r="AI120" s="31" t="s">
        <v>226</v>
      </c>
      <c r="AJ120" s="31" t="s">
        <v>670</v>
      </c>
      <c r="AK120" s="31" t="s">
        <v>505</v>
      </c>
      <c r="AL120" s="31" t="s">
        <v>314</v>
      </c>
      <c r="AM120" s="31"/>
      <c r="AN120" s="31" t="s">
        <v>1117</v>
      </c>
      <c r="AO120" s="31" t="s">
        <v>1076</v>
      </c>
      <c r="AP120" s="31" t="s">
        <v>419</v>
      </c>
      <c r="AQ120" s="31"/>
      <c r="AR120" s="31">
        <v>20</v>
      </c>
      <c r="AS120" s="31">
        <v>30</v>
      </c>
      <c r="AT120" s="31">
        <v>18</v>
      </c>
      <c r="AU120" s="31">
        <v>34</v>
      </c>
      <c r="AV120" s="31">
        <v>900</v>
      </c>
      <c r="AW120" s="31">
        <v>2000</v>
      </c>
      <c r="AX120" s="31">
        <v>600</v>
      </c>
      <c r="AY120" s="31">
        <v>2500</v>
      </c>
      <c r="AZ120" s="31">
        <v>6</v>
      </c>
      <c r="BA120" s="31">
        <v>8</v>
      </c>
      <c r="BB120" s="31">
        <v>5.5</v>
      </c>
      <c r="BC120" s="31">
        <v>8.5</v>
      </c>
      <c r="BD120" s="31">
        <v>5</v>
      </c>
      <c r="BE120" s="31"/>
      <c r="BF120" s="31">
        <v>30</v>
      </c>
      <c r="BG120" s="31">
        <v>45</v>
      </c>
      <c r="BH120" s="31">
        <v>1300</v>
      </c>
      <c r="BI120" s="31" t="s">
        <v>165</v>
      </c>
      <c r="BJ120" s="31" t="s">
        <v>164</v>
      </c>
      <c r="BK120" s="31" t="s">
        <v>317</v>
      </c>
      <c r="BL120" s="31" t="s">
        <v>163</v>
      </c>
      <c r="BM120" s="31" t="s">
        <v>166</v>
      </c>
      <c r="BN120" s="31" t="s">
        <v>201</v>
      </c>
      <c r="BO120" s="31" t="s">
        <v>167</v>
      </c>
      <c r="BP120" s="31" t="s">
        <v>289</v>
      </c>
      <c r="BQ120" s="31" t="s">
        <v>169</v>
      </c>
      <c r="BR120" s="31" t="s">
        <v>170</v>
      </c>
      <c r="BS120" s="31"/>
      <c r="BT120" s="31"/>
      <c r="BU120" s="31" t="s">
        <v>171</v>
      </c>
      <c r="BV120" s="31" t="s">
        <v>171</v>
      </c>
      <c r="BW120" s="31" t="s">
        <v>172</v>
      </c>
      <c r="BX120" s="31" t="s">
        <v>172</v>
      </c>
      <c r="BY120" s="31"/>
      <c r="BZ120" s="31"/>
      <c r="CA120" s="31"/>
      <c r="CB120" s="31" t="s">
        <v>1118</v>
      </c>
      <c r="CC120" s="31"/>
      <c r="CD120" s="31"/>
      <c r="CE120" s="31"/>
      <c r="CF120" s="31"/>
      <c r="CG120" s="31">
        <v>0</v>
      </c>
      <c r="CH120" s="31">
        <v>0</v>
      </c>
      <c r="CI120" s="32">
        <v>3</v>
      </c>
      <c r="CJ120" s="32">
        <v>5</v>
      </c>
      <c r="CK120" s="32">
        <v>2</v>
      </c>
      <c r="CL120" s="32">
        <v>5</v>
      </c>
      <c r="CM120" s="33" t="s">
        <v>1119</v>
      </c>
      <c r="CN120" s="34">
        <v>5</v>
      </c>
      <c r="CO120" s="34">
        <v>30</v>
      </c>
      <c r="CP120" s="35" t="s">
        <v>1120</v>
      </c>
      <c r="CQ120" s="35" t="s">
        <v>209</v>
      </c>
      <c r="CR120" s="36">
        <v>0</v>
      </c>
      <c r="CS120" s="36">
        <v>0</v>
      </c>
      <c r="CT120" s="36">
        <v>5</v>
      </c>
      <c r="CU120" s="36">
        <v>4</v>
      </c>
      <c r="CV120" s="36">
        <v>6</v>
      </c>
      <c r="CW120" s="36">
        <v>15</v>
      </c>
      <c r="CX120" s="36">
        <v>5</v>
      </c>
      <c r="CY120" s="36">
        <v>20</v>
      </c>
      <c r="CZ120" s="36">
        <v>6</v>
      </c>
      <c r="DA120" s="37">
        <v>0</v>
      </c>
      <c r="DB120" s="37">
        <v>0</v>
      </c>
      <c r="DC120" s="37">
        <v>40</v>
      </c>
      <c r="DD120" s="37">
        <v>25</v>
      </c>
      <c r="DE120" s="37">
        <v>40</v>
      </c>
      <c r="DF120" s="37">
        <v>120</v>
      </c>
      <c r="DG120" s="37">
        <v>35</v>
      </c>
      <c r="DH120" s="37">
        <v>400</v>
      </c>
      <c r="DI120" s="37">
        <v>60</v>
      </c>
      <c r="DJ120" s="38" t="s">
        <v>1121</v>
      </c>
      <c r="DK120" s="39" t="s">
        <v>409</v>
      </c>
      <c r="DL120" s="40">
        <v>150</v>
      </c>
      <c r="DM120" s="39" t="s">
        <v>1122</v>
      </c>
      <c r="DN120" s="41"/>
      <c r="DO120" s="24" t="s">
        <v>182</v>
      </c>
      <c r="DP120" s="25" t="s">
        <v>183</v>
      </c>
      <c r="DQ120" s="25" t="s">
        <v>183</v>
      </c>
      <c r="DR120" s="25" t="s">
        <v>183</v>
      </c>
      <c r="DS120" s="24" t="s">
        <v>182</v>
      </c>
      <c r="DT120" s="41"/>
      <c r="DU120" s="41"/>
      <c r="DV120" s="41"/>
      <c r="DW120" s="41"/>
      <c r="DX120" s="41"/>
      <c r="DY120" s="41"/>
      <c r="DZ120" s="42" t="s">
        <v>1123</v>
      </c>
      <c r="EA120" s="42" t="s">
        <v>1124</v>
      </c>
      <c r="EB120" s="52" t="s">
        <v>301</v>
      </c>
      <c r="EC120" s="44" t="s">
        <v>1125</v>
      </c>
      <c r="ED120" s="45" t="s">
        <v>496</v>
      </c>
      <c r="EE120" s="46">
        <v>3</v>
      </c>
      <c r="EF120" s="47" t="s">
        <v>217</v>
      </c>
    </row>
    <row r="121" spans="1:136" ht="15" customHeight="1" x14ac:dyDescent="0.25">
      <c r="A121" s="16" t="s">
        <v>659</v>
      </c>
      <c r="B121" s="17" t="s">
        <v>409</v>
      </c>
      <c r="C121" s="17" t="s">
        <v>660</v>
      </c>
      <c r="D121" s="18">
        <v>46.1</v>
      </c>
      <c r="E121" s="18">
        <v>1.4</v>
      </c>
      <c r="F121" s="18">
        <v>0.7</v>
      </c>
      <c r="G121" s="18">
        <v>4.8</v>
      </c>
      <c r="H121" s="18">
        <v>7.2</v>
      </c>
      <c r="I121" s="18">
        <v>12</v>
      </c>
      <c r="J121" s="18">
        <v>0.74</v>
      </c>
      <c r="K121" s="18">
        <v>22</v>
      </c>
      <c r="L121" s="18">
        <v>41</v>
      </c>
      <c r="M121" s="18">
        <v>315</v>
      </c>
      <c r="N121" s="18">
        <v>3</v>
      </c>
      <c r="O121" s="18">
        <v>0.26</v>
      </c>
      <c r="P121" s="18">
        <v>0.14000000000000001</v>
      </c>
      <c r="Q121" s="18">
        <v>0.14000000000000001</v>
      </c>
      <c r="R121" s="18">
        <v>0</v>
      </c>
      <c r="S121" s="18">
        <v>520</v>
      </c>
      <c r="T121" s="18">
        <v>8.5</v>
      </c>
      <c r="U121" s="18">
        <v>190</v>
      </c>
      <c r="V121" s="18">
        <v>0.09</v>
      </c>
      <c r="W121" s="18">
        <v>0.17499999999999999</v>
      </c>
      <c r="X121" s="18">
        <v>2.35</v>
      </c>
      <c r="Y121" s="18">
        <v>0.44</v>
      </c>
      <c r="Z121" s="18">
        <v>0</v>
      </c>
      <c r="AA121" s="18">
        <v>74</v>
      </c>
      <c r="AB121" s="18">
        <v>621</v>
      </c>
      <c r="AC121" s="18" t="s">
        <v>648</v>
      </c>
      <c r="AD121" s="18" t="s">
        <v>221</v>
      </c>
      <c r="AE121" s="18" t="s">
        <v>579</v>
      </c>
      <c r="AF121" s="18"/>
      <c r="AG121" s="18" t="s">
        <v>649</v>
      </c>
      <c r="AH121" s="18" t="s">
        <v>650</v>
      </c>
      <c r="AI121" s="18" t="s">
        <v>155</v>
      </c>
      <c r="AJ121" s="18" t="s">
        <v>482</v>
      </c>
      <c r="AK121" s="18" t="s">
        <v>157</v>
      </c>
      <c r="AL121" s="18" t="s">
        <v>314</v>
      </c>
      <c r="AM121" s="18"/>
      <c r="AN121" s="18" t="s">
        <v>506</v>
      </c>
      <c r="AO121" s="18" t="s">
        <v>419</v>
      </c>
      <c r="AP121" s="18" t="s">
        <v>419</v>
      </c>
      <c r="AQ121" s="18" t="s">
        <v>362</v>
      </c>
      <c r="AR121" s="18">
        <v>18</v>
      </c>
      <c r="AS121" s="18">
        <v>30</v>
      </c>
      <c r="AT121" s="18">
        <v>7</v>
      </c>
      <c r="AU121" s="18">
        <v>40</v>
      </c>
      <c r="AV121" s="18">
        <v>600</v>
      </c>
      <c r="AW121" s="18">
        <v>1500</v>
      </c>
      <c r="AX121" s="18">
        <v>400</v>
      </c>
      <c r="AY121" s="18">
        <v>2000</v>
      </c>
      <c r="AZ121" s="18">
        <v>5.5</v>
      </c>
      <c r="BA121" s="18">
        <v>6.8</v>
      </c>
      <c r="BB121" s="18">
        <v>4.3</v>
      </c>
      <c r="BC121" s="18">
        <v>8.3000000000000007</v>
      </c>
      <c r="BD121" s="18"/>
      <c r="BE121" s="18"/>
      <c r="BF121" s="18">
        <v>40</v>
      </c>
      <c r="BG121" s="18">
        <v>40</v>
      </c>
      <c r="BH121" s="18">
        <v>2000</v>
      </c>
      <c r="BI121" s="18" t="s">
        <v>163</v>
      </c>
      <c r="BJ121" s="18" t="s">
        <v>163</v>
      </c>
      <c r="BK121" s="18" t="s">
        <v>163</v>
      </c>
      <c r="BL121" s="18" t="s">
        <v>165</v>
      </c>
      <c r="BM121" s="18" t="s">
        <v>201</v>
      </c>
      <c r="BN121" s="18" t="s">
        <v>201</v>
      </c>
      <c r="BO121" s="18" t="s">
        <v>167</v>
      </c>
      <c r="BP121" s="18" t="s">
        <v>203</v>
      </c>
      <c r="BQ121" s="18" t="s">
        <v>169</v>
      </c>
      <c r="BR121" s="18" t="s">
        <v>170</v>
      </c>
      <c r="BS121" s="18"/>
      <c r="BT121" s="18"/>
      <c r="BU121" s="18" t="s">
        <v>171</v>
      </c>
      <c r="BV121" s="18"/>
      <c r="BW121" s="18" t="s">
        <v>172</v>
      </c>
      <c r="BX121" s="18" t="s">
        <v>172</v>
      </c>
      <c r="BY121" s="18"/>
      <c r="BZ121" s="18"/>
      <c r="CA121" s="18" t="s">
        <v>508</v>
      </c>
      <c r="CB121" s="18" t="s">
        <v>651</v>
      </c>
      <c r="CC121" s="18"/>
      <c r="CD121" s="18"/>
      <c r="CE121" s="18"/>
      <c r="CF121" s="18"/>
      <c r="CG121" s="18">
        <v>120</v>
      </c>
      <c r="CH121" s="18">
        <v>180</v>
      </c>
      <c r="CI121" s="32">
        <v>0.5</v>
      </c>
      <c r="CJ121" s="32">
        <v>1.5</v>
      </c>
      <c r="CK121" s="32">
        <v>0.4</v>
      </c>
      <c r="CL121" s="32">
        <v>0.8</v>
      </c>
      <c r="CM121" s="33" t="s">
        <v>652</v>
      </c>
      <c r="CN121" s="34">
        <v>5</v>
      </c>
      <c r="CO121" s="34">
        <v>30</v>
      </c>
      <c r="CP121" s="35" t="s">
        <v>661</v>
      </c>
      <c r="CQ121" s="35" t="s">
        <v>209</v>
      </c>
      <c r="CR121" s="36">
        <v>5</v>
      </c>
      <c r="CS121" s="36">
        <v>8</v>
      </c>
      <c r="CT121" s="36">
        <v>8</v>
      </c>
      <c r="CU121" s="36">
        <v>4</v>
      </c>
      <c r="CV121" s="36">
        <v>6</v>
      </c>
      <c r="CW121" s="36">
        <v>5</v>
      </c>
      <c r="CX121" s="36">
        <v>5</v>
      </c>
      <c r="CY121" s="36">
        <v>20</v>
      </c>
      <c r="CZ121" s="36">
        <v>8</v>
      </c>
      <c r="DA121" s="37">
        <v>140</v>
      </c>
      <c r="DB121" s="37">
        <v>180</v>
      </c>
      <c r="DC121" s="37">
        <v>250</v>
      </c>
      <c r="DD121" s="37">
        <v>30</v>
      </c>
      <c r="DE121" s="37">
        <v>50</v>
      </c>
      <c r="DF121" s="37">
        <v>50</v>
      </c>
      <c r="DG121" s="37">
        <v>50</v>
      </c>
      <c r="DH121" s="37">
        <v>450</v>
      </c>
      <c r="DI121" s="37">
        <v>100</v>
      </c>
      <c r="DJ121" s="38" t="s">
        <v>662</v>
      </c>
      <c r="DK121" s="39" t="s">
        <v>180</v>
      </c>
      <c r="DL121" s="40">
        <v>75</v>
      </c>
      <c r="DM121" s="39" t="s">
        <v>655</v>
      </c>
      <c r="DN121" s="25" t="s">
        <v>183</v>
      </c>
      <c r="DO121" s="25" t="s">
        <v>183</v>
      </c>
      <c r="DP121" s="25" t="s">
        <v>183</v>
      </c>
      <c r="DQ121" s="24" t="s">
        <v>182</v>
      </c>
      <c r="DR121" s="41"/>
      <c r="DS121" s="41"/>
      <c r="DT121" s="41"/>
      <c r="DU121" s="41"/>
      <c r="DV121" s="41"/>
      <c r="DW121" s="41"/>
      <c r="DX121" s="41"/>
      <c r="DY121" s="24" t="s">
        <v>182</v>
      </c>
      <c r="DZ121" s="42" t="s">
        <v>663</v>
      </c>
      <c r="EA121" s="42" t="s">
        <v>598</v>
      </c>
      <c r="EB121" s="52" t="s">
        <v>301</v>
      </c>
      <c r="EC121" s="44" t="s">
        <v>664</v>
      </c>
      <c r="ED121" s="45" t="s">
        <v>658</v>
      </c>
      <c r="EE121" s="46">
        <v>4</v>
      </c>
      <c r="EF121" s="47" t="s">
        <v>217</v>
      </c>
    </row>
    <row r="122" spans="1:136" ht="15" customHeight="1" x14ac:dyDescent="0.25">
      <c r="A122" s="16" t="s">
        <v>1715</v>
      </c>
      <c r="B122" s="29" t="s">
        <v>1700</v>
      </c>
      <c r="C122" s="29" t="s">
        <v>1716</v>
      </c>
      <c r="D122" s="30">
        <v>18.899999999999999</v>
      </c>
      <c r="E122" s="30">
        <v>2.5</v>
      </c>
      <c r="F122" s="30">
        <v>0.2</v>
      </c>
      <c r="G122" s="30">
        <v>0.6</v>
      </c>
      <c r="H122" s="30">
        <v>2.4</v>
      </c>
      <c r="I122" s="30">
        <v>83</v>
      </c>
      <c r="J122" s="30">
        <v>1.4</v>
      </c>
      <c r="K122" s="30">
        <v>18</v>
      </c>
      <c r="L122" s="30">
        <v>28</v>
      </c>
      <c r="M122" s="30">
        <v>250</v>
      </c>
      <c r="N122" s="30">
        <v>57</v>
      </c>
      <c r="O122" s="30">
        <v>0.36</v>
      </c>
      <c r="P122" s="30">
        <v>4.1000000000000002E-2</v>
      </c>
      <c r="Q122" s="30">
        <v>0.26500000000000001</v>
      </c>
      <c r="R122" s="30">
        <v>0</v>
      </c>
      <c r="S122" s="30">
        <v>92</v>
      </c>
      <c r="T122" s="30">
        <v>0.14000000000000001</v>
      </c>
      <c r="U122" s="30">
        <v>27</v>
      </c>
      <c r="V122" s="30">
        <v>0.11</v>
      </c>
      <c r="W122" s="30">
        <v>0.12</v>
      </c>
      <c r="X122" s="30">
        <v>0</v>
      </c>
      <c r="Y122" s="30">
        <v>0.4</v>
      </c>
      <c r="Z122" s="30">
        <v>0</v>
      </c>
      <c r="AA122" s="30">
        <v>40</v>
      </c>
      <c r="AB122" s="31">
        <v>3878</v>
      </c>
      <c r="AC122" s="31" t="s">
        <v>1717</v>
      </c>
      <c r="AD122" s="31" t="s">
        <v>221</v>
      </c>
      <c r="AE122" s="31" t="s">
        <v>152</v>
      </c>
      <c r="AF122" s="31"/>
      <c r="AG122" s="31" t="s">
        <v>1718</v>
      </c>
      <c r="AH122" s="31" t="s">
        <v>1718</v>
      </c>
      <c r="AI122" s="31" t="s">
        <v>155</v>
      </c>
      <c r="AJ122" s="31" t="s">
        <v>156</v>
      </c>
      <c r="AK122" s="31" t="s">
        <v>157</v>
      </c>
      <c r="AL122" s="31" t="s">
        <v>227</v>
      </c>
      <c r="AM122" s="31"/>
      <c r="AN122" s="31" t="s">
        <v>160</v>
      </c>
      <c r="AO122" s="31" t="s">
        <v>161</v>
      </c>
      <c r="AP122" s="31" t="s">
        <v>161</v>
      </c>
      <c r="AQ122" s="31" t="s">
        <v>362</v>
      </c>
      <c r="AR122" s="31">
        <v>20</v>
      </c>
      <c r="AS122" s="31">
        <v>25</v>
      </c>
      <c r="AT122" s="31">
        <v>10</v>
      </c>
      <c r="AU122" s="31">
        <v>32</v>
      </c>
      <c r="AV122" s="31">
        <v>900</v>
      </c>
      <c r="AW122" s="31">
        <v>1400</v>
      </c>
      <c r="AX122" s="31">
        <v>300</v>
      </c>
      <c r="AY122" s="31">
        <v>2000</v>
      </c>
      <c r="AZ122" s="31">
        <v>5.5</v>
      </c>
      <c r="BA122" s="31">
        <v>7</v>
      </c>
      <c r="BB122" s="31">
        <v>5</v>
      </c>
      <c r="BC122" s="31">
        <v>7.5</v>
      </c>
      <c r="BD122" s="31">
        <v>20</v>
      </c>
      <c r="BE122" s="31">
        <v>20</v>
      </c>
      <c r="BF122" s="31">
        <v>40</v>
      </c>
      <c r="BG122" s="31">
        <v>40</v>
      </c>
      <c r="BH122" s="31"/>
      <c r="BI122" s="31" t="s">
        <v>163</v>
      </c>
      <c r="BJ122" s="31" t="s">
        <v>164</v>
      </c>
      <c r="BK122" s="31" t="s">
        <v>163</v>
      </c>
      <c r="BL122" s="31" t="s">
        <v>165</v>
      </c>
      <c r="BM122" s="31" t="s">
        <v>166</v>
      </c>
      <c r="BN122" s="31" t="s">
        <v>201</v>
      </c>
      <c r="BO122" s="31" t="s">
        <v>250</v>
      </c>
      <c r="BP122" s="31" t="s">
        <v>567</v>
      </c>
      <c r="BQ122" s="31" t="s">
        <v>169</v>
      </c>
      <c r="BR122" s="31" t="s">
        <v>170</v>
      </c>
      <c r="BS122" s="31"/>
      <c r="BT122" s="31"/>
      <c r="BU122" s="31" t="s">
        <v>171</v>
      </c>
      <c r="BV122" s="31" t="s">
        <v>171</v>
      </c>
      <c r="BW122" s="31" t="s">
        <v>172</v>
      </c>
      <c r="BX122" s="31" t="s">
        <v>172</v>
      </c>
      <c r="BY122" s="31"/>
      <c r="BZ122" s="31"/>
      <c r="CA122" s="31" t="s">
        <v>173</v>
      </c>
      <c r="CB122" s="31" t="s">
        <v>583</v>
      </c>
      <c r="CC122" s="31"/>
      <c r="CD122" s="31"/>
      <c r="CE122" s="31"/>
      <c r="CF122" s="31"/>
      <c r="CG122" s="31">
        <v>21</v>
      </c>
      <c r="CH122" s="31">
        <v>45</v>
      </c>
      <c r="CI122" s="19">
        <v>0.15</v>
      </c>
      <c r="CJ122" s="19">
        <v>0.5</v>
      </c>
      <c r="CK122" s="19">
        <v>0.2</v>
      </c>
      <c r="CL122" s="19">
        <v>0.4</v>
      </c>
      <c r="CM122" s="17" t="s">
        <v>1719</v>
      </c>
      <c r="CN122" s="20">
        <v>10</v>
      </c>
      <c r="CO122" s="20">
        <v>40</v>
      </c>
      <c r="CP122" s="17" t="s">
        <v>1720</v>
      </c>
      <c r="CQ122" s="17" t="s">
        <v>209</v>
      </c>
      <c r="CR122" s="21">
        <v>4</v>
      </c>
      <c r="CS122" s="21">
        <v>5</v>
      </c>
      <c r="CT122" s="21">
        <v>5</v>
      </c>
      <c r="CU122" s="21">
        <v>3</v>
      </c>
      <c r="CV122" s="21">
        <v>4</v>
      </c>
      <c r="CW122" s="21">
        <v>0</v>
      </c>
      <c r="CX122" s="21">
        <v>4</v>
      </c>
      <c r="CY122" s="21">
        <v>8</v>
      </c>
      <c r="CZ122" s="21">
        <v>5</v>
      </c>
      <c r="DA122" s="21">
        <v>120</v>
      </c>
      <c r="DB122" s="21">
        <v>120</v>
      </c>
      <c r="DC122" s="21">
        <v>160</v>
      </c>
      <c r="DD122" s="21">
        <v>20</v>
      </c>
      <c r="DE122" s="21">
        <v>30</v>
      </c>
      <c r="DF122" s="21">
        <v>0</v>
      </c>
      <c r="DG122" s="21">
        <v>40</v>
      </c>
      <c r="DH122" s="21">
        <v>240</v>
      </c>
      <c r="DI122" s="21">
        <v>80</v>
      </c>
      <c r="DJ122" s="17" t="s">
        <v>1721</v>
      </c>
      <c r="DK122" s="17" t="s">
        <v>180</v>
      </c>
      <c r="DL122" s="22">
        <v>75</v>
      </c>
      <c r="DM122" s="17" t="s">
        <v>1722</v>
      </c>
      <c r="DN122" s="23"/>
      <c r="DO122" s="23"/>
      <c r="DP122" s="23"/>
      <c r="DQ122" s="24" t="s">
        <v>182</v>
      </c>
      <c r="DR122" s="25" t="s">
        <v>183</v>
      </c>
      <c r="DS122" s="25" t="s">
        <v>183</v>
      </c>
      <c r="DT122" s="25" t="s">
        <v>183</v>
      </c>
      <c r="DU122" s="25" t="s">
        <v>183</v>
      </c>
      <c r="DV122" s="25" t="s">
        <v>183</v>
      </c>
      <c r="DW122" s="24" t="s">
        <v>182</v>
      </c>
      <c r="DX122" s="24" t="s">
        <v>182</v>
      </c>
      <c r="DY122" s="23"/>
      <c r="DZ122" s="17" t="s">
        <v>1723</v>
      </c>
      <c r="EA122" s="17" t="s">
        <v>379</v>
      </c>
      <c r="EB122" s="43" t="s">
        <v>214</v>
      </c>
      <c r="EC122" s="17" t="s">
        <v>925</v>
      </c>
      <c r="ED122" s="27" t="s">
        <v>475</v>
      </c>
      <c r="EE122" s="22">
        <v>1</v>
      </c>
      <c r="EF122" s="55" t="s">
        <v>531</v>
      </c>
    </row>
    <row r="123" spans="1:136" ht="15" customHeight="1" x14ac:dyDescent="0.25">
      <c r="A123" s="16" t="s">
        <v>2015</v>
      </c>
      <c r="B123" s="29" t="s">
        <v>1969</v>
      </c>
      <c r="C123" s="29" t="s">
        <v>2016</v>
      </c>
      <c r="D123" s="30">
        <v>173.8</v>
      </c>
      <c r="E123" s="30">
        <v>3.4</v>
      </c>
      <c r="F123" s="30">
        <v>0.2</v>
      </c>
      <c r="G123" s="30">
        <v>32.1</v>
      </c>
      <c r="H123" s="30">
        <v>14.9</v>
      </c>
      <c r="I123" s="30">
        <v>18</v>
      </c>
      <c r="J123" s="30">
        <v>0.7</v>
      </c>
      <c r="K123" s="30">
        <v>30</v>
      </c>
      <c r="L123" s="30">
        <v>38</v>
      </c>
      <c r="M123" s="30">
        <v>468</v>
      </c>
      <c r="N123" s="30">
        <v>1</v>
      </c>
      <c r="O123" s="30">
        <v>0.4</v>
      </c>
      <c r="P123" s="30"/>
      <c r="Q123" s="30"/>
      <c r="R123" s="30">
        <v>0</v>
      </c>
      <c r="S123" s="30">
        <v>0</v>
      </c>
      <c r="T123" s="30">
        <v>0.5</v>
      </c>
      <c r="U123" s="30">
        <v>40</v>
      </c>
      <c r="V123" s="30">
        <v>0.14399999999999999</v>
      </c>
      <c r="W123" s="30">
        <v>1.6E-2</v>
      </c>
      <c r="X123" s="30">
        <v>1.1000000000000001</v>
      </c>
      <c r="Y123" s="30">
        <v>0.35</v>
      </c>
      <c r="Z123" s="30">
        <v>0</v>
      </c>
      <c r="AA123" s="30">
        <v>58</v>
      </c>
      <c r="AB123" s="31">
        <v>2234</v>
      </c>
      <c r="AC123" s="31" t="s">
        <v>2017</v>
      </c>
      <c r="AD123" s="31" t="s">
        <v>194</v>
      </c>
      <c r="AE123" s="31" t="s">
        <v>2018</v>
      </c>
      <c r="AF123" s="31" t="s">
        <v>2019</v>
      </c>
      <c r="AG123" s="31" t="s">
        <v>2020</v>
      </c>
      <c r="AH123" s="31" t="s">
        <v>2021</v>
      </c>
      <c r="AI123" s="31" t="s">
        <v>155</v>
      </c>
      <c r="AJ123" s="31" t="s">
        <v>337</v>
      </c>
      <c r="AK123" s="31" t="s">
        <v>157</v>
      </c>
      <c r="AL123" s="31" t="s">
        <v>314</v>
      </c>
      <c r="AM123" s="31"/>
      <c r="AN123" s="31" t="s">
        <v>417</v>
      </c>
      <c r="AO123" s="31" t="s">
        <v>2022</v>
      </c>
      <c r="AP123" s="31" t="s">
        <v>340</v>
      </c>
      <c r="AQ123" s="31" t="s">
        <v>341</v>
      </c>
      <c r="AR123" s="31">
        <v>15</v>
      </c>
      <c r="AS123" s="31">
        <v>25</v>
      </c>
      <c r="AT123" s="31">
        <v>7</v>
      </c>
      <c r="AU123" s="31">
        <v>30</v>
      </c>
      <c r="AV123" s="31">
        <v>900</v>
      </c>
      <c r="AW123" s="31">
        <v>1300</v>
      </c>
      <c r="AX123" s="31">
        <v>500</v>
      </c>
      <c r="AY123" s="31">
        <v>1600</v>
      </c>
      <c r="AZ123" s="31">
        <v>5</v>
      </c>
      <c r="BA123" s="31">
        <v>6</v>
      </c>
      <c r="BB123" s="31">
        <v>4</v>
      </c>
      <c r="BC123" s="31">
        <v>7</v>
      </c>
      <c r="BD123" s="31">
        <v>30</v>
      </c>
      <c r="BE123" s="31">
        <v>30</v>
      </c>
      <c r="BF123" s="31">
        <v>50</v>
      </c>
      <c r="BG123" s="31">
        <v>50</v>
      </c>
      <c r="BH123" s="31">
        <v>2000</v>
      </c>
      <c r="BI123" s="31" t="s">
        <v>163</v>
      </c>
      <c r="BJ123" s="31" t="s">
        <v>163</v>
      </c>
      <c r="BK123" s="31" t="s">
        <v>163</v>
      </c>
      <c r="BL123" s="31" t="s">
        <v>165</v>
      </c>
      <c r="BM123" s="31" t="s">
        <v>288</v>
      </c>
      <c r="BN123" s="31" t="s">
        <v>288</v>
      </c>
      <c r="BO123" s="31" t="s">
        <v>250</v>
      </c>
      <c r="BP123" s="31" t="s">
        <v>203</v>
      </c>
      <c r="BQ123" s="31" t="s">
        <v>170</v>
      </c>
      <c r="BR123" s="31" t="s">
        <v>170</v>
      </c>
      <c r="BS123" s="31"/>
      <c r="BT123" s="31"/>
      <c r="BU123" s="31" t="s">
        <v>171</v>
      </c>
      <c r="BV123" s="31" t="s">
        <v>171</v>
      </c>
      <c r="BW123" s="31" t="s">
        <v>172</v>
      </c>
      <c r="BX123" s="31" t="s">
        <v>290</v>
      </c>
      <c r="BY123" s="31"/>
      <c r="BZ123" s="31"/>
      <c r="CA123" s="31" t="s">
        <v>204</v>
      </c>
      <c r="CB123" s="31" t="s">
        <v>638</v>
      </c>
      <c r="CC123" s="31"/>
      <c r="CD123" s="31"/>
      <c r="CE123" s="31"/>
      <c r="CF123" s="31" t="s">
        <v>850</v>
      </c>
      <c r="CG123" s="31">
        <v>150</v>
      </c>
      <c r="CH123" s="31">
        <v>210</v>
      </c>
      <c r="CI123" s="19">
        <v>10</v>
      </c>
      <c r="CJ123" s="19">
        <v>30</v>
      </c>
      <c r="CK123" s="19">
        <v>8</v>
      </c>
      <c r="CL123" s="19">
        <v>20</v>
      </c>
      <c r="CM123" s="17" t="s">
        <v>2023</v>
      </c>
      <c r="CN123" s="20">
        <v>1</v>
      </c>
      <c r="CO123" s="20">
        <v>5</v>
      </c>
      <c r="CP123" s="17" t="s">
        <v>2024</v>
      </c>
      <c r="CQ123" s="17" t="s">
        <v>209</v>
      </c>
      <c r="CR123" s="21">
        <v>0</v>
      </c>
      <c r="CS123" s="21">
        <v>0</v>
      </c>
      <c r="CT123" s="21">
        <v>5</v>
      </c>
      <c r="CU123" s="21">
        <v>3</v>
      </c>
      <c r="CV123" s="21">
        <v>5</v>
      </c>
      <c r="CW123" s="21">
        <v>10</v>
      </c>
      <c r="CX123" s="21">
        <v>3</v>
      </c>
      <c r="CY123" s="21">
        <v>15</v>
      </c>
      <c r="CZ123" s="21">
        <v>8</v>
      </c>
      <c r="DA123" s="21">
        <v>0</v>
      </c>
      <c r="DB123" s="21">
        <v>0</v>
      </c>
      <c r="DC123" s="21">
        <v>40</v>
      </c>
      <c r="DD123" s="21">
        <v>15</v>
      </c>
      <c r="DE123" s="21">
        <v>35</v>
      </c>
      <c r="DF123" s="21">
        <v>80</v>
      </c>
      <c r="DG123" s="21">
        <v>20</v>
      </c>
      <c r="DH123" s="21">
        <v>300</v>
      </c>
      <c r="DI123" s="21">
        <v>100</v>
      </c>
      <c r="DJ123" s="17" t="s">
        <v>2025</v>
      </c>
      <c r="DK123" s="17" t="s">
        <v>1979</v>
      </c>
      <c r="DL123" s="22">
        <v>30</v>
      </c>
      <c r="DM123" s="17" t="s">
        <v>2026</v>
      </c>
      <c r="DN123" s="23"/>
      <c r="DO123" s="24" t="s">
        <v>182</v>
      </c>
      <c r="DP123" s="25" t="s">
        <v>183</v>
      </c>
      <c r="DQ123" s="25" t="s">
        <v>183</v>
      </c>
      <c r="DR123" s="25" t="s">
        <v>183</v>
      </c>
      <c r="DS123" s="24" t="s">
        <v>182</v>
      </c>
      <c r="DT123" s="23"/>
      <c r="DU123" s="23"/>
      <c r="DV123" s="23"/>
      <c r="DW123" s="23"/>
      <c r="DX123" s="23"/>
      <c r="DY123" s="23"/>
      <c r="DZ123" s="17" t="s">
        <v>2027</v>
      </c>
      <c r="EA123" s="17" t="s">
        <v>2028</v>
      </c>
      <c r="EB123" s="26" t="s">
        <v>186</v>
      </c>
      <c r="EC123" s="17" t="s">
        <v>2029</v>
      </c>
      <c r="ED123" s="27" t="s">
        <v>2030</v>
      </c>
      <c r="EE123" s="22">
        <v>4</v>
      </c>
      <c r="EF123" s="28" t="s">
        <v>757</v>
      </c>
    </row>
    <row r="124" spans="1:136" ht="15" customHeight="1" x14ac:dyDescent="0.25">
      <c r="A124" s="16" t="s">
        <v>890</v>
      </c>
      <c r="B124" s="29" t="s">
        <v>409</v>
      </c>
      <c r="C124" s="29" t="s">
        <v>891</v>
      </c>
      <c r="D124" s="30">
        <v>82.9</v>
      </c>
      <c r="E124" s="30">
        <v>2.2000000000000002</v>
      </c>
      <c r="F124" s="30">
        <v>0.3</v>
      </c>
      <c r="G124" s="30">
        <v>16.7</v>
      </c>
      <c r="H124" s="30">
        <v>3</v>
      </c>
      <c r="I124" s="30">
        <v>18</v>
      </c>
      <c r="J124" s="30">
        <v>0.8</v>
      </c>
      <c r="K124" s="30">
        <v>14</v>
      </c>
      <c r="L124" s="30">
        <v>21</v>
      </c>
      <c r="M124" s="30">
        <v>350</v>
      </c>
      <c r="N124" s="30">
        <v>3</v>
      </c>
      <c r="O124" s="30">
        <v>0.8</v>
      </c>
      <c r="P124" s="30"/>
      <c r="Q124" s="30"/>
      <c r="R124" s="30">
        <v>0</v>
      </c>
      <c r="S124" s="30">
        <v>11</v>
      </c>
      <c r="T124" s="30">
        <v>0.34</v>
      </c>
      <c r="U124" s="30">
        <v>6</v>
      </c>
      <c r="V124" s="30">
        <v>0.04</v>
      </c>
      <c r="W124" s="30">
        <v>0.12</v>
      </c>
      <c r="X124" s="30">
        <v>0.6</v>
      </c>
      <c r="Y124" s="30">
        <v>0.33</v>
      </c>
      <c r="Z124" s="30">
        <v>0</v>
      </c>
      <c r="AA124" s="30">
        <v>24</v>
      </c>
      <c r="AB124" s="31">
        <v>459</v>
      </c>
      <c r="AC124" s="31" t="s">
        <v>892</v>
      </c>
      <c r="AD124" s="31" t="s">
        <v>893</v>
      </c>
      <c r="AE124" s="31" t="s">
        <v>562</v>
      </c>
      <c r="AF124" s="31" t="s">
        <v>894</v>
      </c>
      <c r="AG124" s="31" t="s">
        <v>895</v>
      </c>
      <c r="AH124" s="31" t="s">
        <v>896</v>
      </c>
      <c r="AI124" s="31" t="s">
        <v>155</v>
      </c>
      <c r="AJ124" s="31" t="s">
        <v>337</v>
      </c>
      <c r="AK124" s="31" t="s">
        <v>157</v>
      </c>
      <c r="AL124" s="31" t="s">
        <v>314</v>
      </c>
      <c r="AM124" s="31"/>
      <c r="AN124" s="31" t="s">
        <v>338</v>
      </c>
      <c r="AO124" s="31" t="s">
        <v>637</v>
      </c>
      <c r="AP124" s="31" t="s">
        <v>419</v>
      </c>
      <c r="AQ124" s="31" t="s">
        <v>162</v>
      </c>
      <c r="AR124" s="31">
        <v>20</v>
      </c>
      <c r="AS124" s="31">
        <v>30</v>
      </c>
      <c r="AT124" s="31">
        <v>16</v>
      </c>
      <c r="AU124" s="31">
        <v>34</v>
      </c>
      <c r="AV124" s="31">
        <v>1500</v>
      </c>
      <c r="AW124" s="31">
        <v>3000</v>
      </c>
      <c r="AX124" s="31">
        <v>700</v>
      </c>
      <c r="AY124" s="31">
        <v>4200</v>
      </c>
      <c r="AZ124" s="31">
        <v>5.5</v>
      </c>
      <c r="BA124" s="31">
        <v>7.5</v>
      </c>
      <c r="BB124" s="31">
        <v>4.3</v>
      </c>
      <c r="BC124" s="31">
        <v>8</v>
      </c>
      <c r="BD124" s="31"/>
      <c r="BE124" s="31"/>
      <c r="BF124" s="31">
        <v>25</v>
      </c>
      <c r="BG124" s="31">
        <v>30</v>
      </c>
      <c r="BH124" s="31">
        <v>1600</v>
      </c>
      <c r="BI124" s="31" t="s">
        <v>163</v>
      </c>
      <c r="BJ124" s="31" t="s">
        <v>164</v>
      </c>
      <c r="BK124" s="31" t="s">
        <v>163</v>
      </c>
      <c r="BL124" s="31" t="s">
        <v>165</v>
      </c>
      <c r="BM124" s="31" t="s">
        <v>288</v>
      </c>
      <c r="BN124" s="31" t="s">
        <v>201</v>
      </c>
      <c r="BO124" s="31" t="s">
        <v>202</v>
      </c>
      <c r="BP124" s="31" t="s">
        <v>203</v>
      </c>
      <c r="BQ124" s="31" t="s">
        <v>170</v>
      </c>
      <c r="BR124" s="31" t="s">
        <v>230</v>
      </c>
      <c r="BS124" s="31"/>
      <c r="BT124" s="31"/>
      <c r="BU124" s="31" t="s">
        <v>171</v>
      </c>
      <c r="BV124" s="31" t="s">
        <v>171</v>
      </c>
      <c r="BW124" s="31" t="s">
        <v>172</v>
      </c>
      <c r="BX124" s="31" t="s">
        <v>172</v>
      </c>
      <c r="BY124" s="31"/>
      <c r="BZ124" s="31"/>
      <c r="CA124" s="31" t="s">
        <v>204</v>
      </c>
      <c r="CB124" s="31" t="s">
        <v>583</v>
      </c>
      <c r="CC124" s="31"/>
      <c r="CD124" s="31" t="s">
        <v>897</v>
      </c>
      <c r="CE124" s="31"/>
      <c r="CF124" s="31"/>
      <c r="CG124" s="31">
        <v>210</v>
      </c>
      <c r="CH124" s="31">
        <v>365</v>
      </c>
      <c r="CI124" s="32">
        <v>10</v>
      </c>
      <c r="CJ124" s="32">
        <v>25</v>
      </c>
      <c r="CK124" s="32">
        <v>8</v>
      </c>
      <c r="CL124" s="32">
        <v>15</v>
      </c>
      <c r="CM124" s="33" t="s">
        <v>568</v>
      </c>
      <c r="CN124" s="34">
        <v>10</v>
      </c>
      <c r="CO124" s="34">
        <v>50</v>
      </c>
      <c r="CP124" s="35" t="s">
        <v>898</v>
      </c>
      <c r="CQ124" s="35" t="s">
        <v>899</v>
      </c>
      <c r="CR124" s="36">
        <v>0</v>
      </c>
      <c r="CS124" s="36">
        <v>0</v>
      </c>
      <c r="CT124" s="36">
        <v>6</v>
      </c>
      <c r="CU124" s="36">
        <v>4</v>
      </c>
      <c r="CV124" s="36">
        <v>5</v>
      </c>
      <c r="CW124" s="36">
        <v>8</v>
      </c>
      <c r="CX124" s="36">
        <v>5</v>
      </c>
      <c r="CY124" s="36">
        <v>20</v>
      </c>
      <c r="CZ124" s="36">
        <v>10</v>
      </c>
      <c r="DA124" s="37">
        <v>0</v>
      </c>
      <c r="DB124" s="37">
        <v>0</v>
      </c>
      <c r="DC124" s="37">
        <v>50</v>
      </c>
      <c r="DD124" s="37">
        <v>25</v>
      </c>
      <c r="DE124" s="37">
        <v>35</v>
      </c>
      <c r="DF124" s="37">
        <v>60</v>
      </c>
      <c r="DG124" s="37">
        <v>35</v>
      </c>
      <c r="DH124" s="37">
        <v>300</v>
      </c>
      <c r="DI124" s="37">
        <v>150</v>
      </c>
      <c r="DJ124" s="38" t="s">
        <v>900</v>
      </c>
      <c r="DK124" s="39" t="s">
        <v>409</v>
      </c>
      <c r="DL124" s="40">
        <v>150</v>
      </c>
      <c r="DM124" s="39" t="s">
        <v>901</v>
      </c>
      <c r="DN124" s="24" t="s">
        <v>182</v>
      </c>
      <c r="DO124" s="41"/>
      <c r="DP124" s="41"/>
      <c r="DQ124" s="41"/>
      <c r="DR124" s="41"/>
      <c r="DS124" s="41"/>
      <c r="DT124" s="41"/>
      <c r="DU124" s="41"/>
      <c r="DV124" s="24" t="s">
        <v>182</v>
      </c>
      <c r="DW124" s="25" t="s">
        <v>183</v>
      </c>
      <c r="DX124" s="25" t="s">
        <v>183</v>
      </c>
      <c r="DY124" s="25" t="s">
        <v>183</v>
      </c>
      <c r="DZ124" s="42" t="s">
        <v>902</v>
      </c>
      <c r="EA124" s="42" t="s">
        <v>903</v>
      </c>
      <c r="EB124" s="43" t="s">
        <v>214</v>
      </c>
      <c r="EC124" s="44" t="s">
        <v>904</v>
      </c>
      <c r="ED124" s="45" t="s">
        <v>575</v>
      </c>
      <c r="EE124" s="46">
        <v>4</v>
      </c>
      <c r="EF124" s="47" t="s">
        <v>217</v>
      </c>
    </row>
    <row r="125" spans="1:136" ht="15" customHeight="1" x14ac:dyDescent="0.25">
      <c r="A125" s="16" t="s">
        <v>600</v>
      </c>
      <c r="B125" s="17" t="s">
        <v>409</v>
      </c>
      <c r="C125" s="17" t="s">
        <v>601</v>
      </c>
      <c r="D125" s="18">
        <v>28</v>
      </c>
      <c r="E125" s="18">
        <v>1.1000000000000001</v>
      </c>
      <c r="F125" s="18">
        <v>0.4</v>
      </c>
      <c r="G125" s="18">
        <v>4.3</v>
      </c>
      <c r="H125" s="18">
        <v>1.5</v>
      </c>
      <c r="I125" s="18">
        <v>5</v>
      </c>
      <c r="J125" s="18">
        <v>0.26</v>
      </c>
      <c r="K125" s="18">
        <v>9</v>
      </c>
      <c r="L125" s="18">
        <v>26</v>
      </c>
      <c r="M125" s="18">
        <v>180</v>
      </c>
      <c r="N125" s="18">
        <v>2</v>
      </c>
      <c r="O125" s="18">
        <v>0.15</v>
      </c>
      <c r="P125" s="18">
        <v>3.1E-2</v>
      </c>
      <c r="Q125" s="18">
        <v>8.2000000000000003E-2</v>
      </c>
      <c r="R125" s="18">
        <v>0</v>
      </c>
      <c r="S125" s="18">
        <v>15</v>
      </c>
      <c r="T125" s="18">
        <v>4.2</v>
      </c>
      <c r="U125" s="18">
        <v>130</v>
      </c>
      <c r="V125" s="18">
        <v>0.06</v>
      </c>
      <c r="W125" s="18">
        <v>0.14000000000000001</v>
      </c>
      <c r="X125" s="18">
        <v>1.1000000000000001</v>
      </c>
      <c r="Y125" s="18">
        <v>0.33</v>
      </c>
      <c r="Z125" s="18">
        <v>0</v>
      </c>
      <c r="AA125" s="18">
        <v>97</v>
      </c>
      <c r="AB125" s="18">
        <v>618</v>
      </c>
      <c r="AC125" s="18" t="s">
        <v>578</v>
      </c>
      <c r="AD125" s="18" t="s">
        <v>221</v>
      </c>
      <c r="AE125" s="18" t="s">
        <v>579</v>
      </c>
      <c r="AF125" s="18" t="s">
        <v>580</v>
      </c>
      <c r="AG125" s="18" t="s">
        <v>581</v>
      </c>
      <c r="AH125" s="18" t="s">
        <v>582</v>
      </c>
      <c r="AI125" s="18" t="s">
        <v>226</v>
      </c>
      <c r="AJ125" s="18" t="s">
        <v>156</v>
      </c>
      <c r="AK125" s="18" t="s">
        <v>157</v>
      </c>
      <c r="AL125" s="18" t="s">
        <v>282</v>
      </c>
      <c r="AM125" s="18" t="s">
        <v>283</v>
      </c>
      <c r="AN125" s="18"/>
      <c r="AO125" s="18" t="s">
        <v>228</v>
      </c>
      <c r="AP125" s="18" t="s">
        <v>161</v>
      </c>
      <c r="AQ125" s="18" t="s">
        <v>162</v>
      </c>
      <c r="AR125" s="18">
        <v>17</v>
      </c>
      <c r="AS125" s="18">
        <v>30</v>
      </c>
      <c r="AT125" s="18">
        <v>8</v>
      </c>
      <c r="AU125" s="18">
        <v>35</v>
      </c>
      <c r="AV125" s="18">
        <v>600</v>
      </c>
      <c r="AW125" s="18">
        <v>1250</v>
      </c>
      <c r="AX125" s="18">
        <v>500</v>
      </c>
      <c r="AY125" s="18">
        <v>1700</v>
      </c>
      <c r="AZ125" s="18">
        <v>5.5</v>
      </c>
      <c r="BA125" s="18">
        <v>6.8</v>
      </c>
      <c r="BB125" s="18">
        <v>4.5</v>
      </c>
      <c r="BC125" s="18">
        <v>7</v>
      </c>
      <c r="BD125" s="18"/>
      <c r="BE125" s="18"/>
      <c r="BF125" s="18">
        <v>50</v>
      </c>
      <c r="BG125" s="18">
        <v>50</v>
      </c>
      <c r="BH125" s="18">
        <v>3000</v>
      </c>
      <c r="BI125" s="18" t="s">
        <v>163</v>
      </c>
      <c r="BJ125" s="18" t="s">
        <v>163</v>
      </c>
      <c r="BK125" s="18" t="s">
        <v>163</v>
      </c>
      <c r="BL125" s="18" t="s">
        <v>165</v>
      </c>
      <c r="BM125" s="18" t="s">
        <v>166</v>
      </c>
      <c r="BN125" s="18" t="s">
        <v>166</v>
      </c>
      <c r="BO125" s="18" t="s">
        <v>167</v>
      </c>
      <c r="BP125" s="18" t="s">
        <v>250</v>
      </c>
      <c r="BQ125" s="18" t="s">
        <v>170</v>
      </c>
      <c r="BR125" s="18" t="s">
        <v>170</v>
      </c>
      <c r="BS125" s="18"/>
      <c r="BT125" s="18"/>
      <c r="BU125" s="18" t="s">
        <v>171</v>
      </c>
      <c r="BV125" s="18" t="s">
        <v>231</v>
      </c>
      <c r="BW125" s="18" t="s">
        <v>172</v>
      </c>
      <c r="BX125" s="18" t="s">
        <v>172</v>
      </c>
      <c r="BY125" s="18"/>
      <c r="BZ125" s="18"/>
      <c r="CA125" s="18" t="s">
        <v>508</v>
      </c>
      <c r="CB125" s="18" t="s">
        <v>583</v>
      </c>
      <c r="CC125" s="18"/>
      <c r="CD125" s="18"/>
      <c r="CE125" s="18"/>
      <c r="CF125" s="18" t="s">
        <v>584</v>
      </c>
      <c r="CG125" s="18">
        <v>60</v>
      </c>
      <c r="CH125" s="18">
        <v>180</v>
      </c>
      <c r="CI125" s="19">
        <v>0.5</v>
      </c>
      <c r="CJ125" s="19">
        <v>1.5</v>
      </c>
      <c r="CK125" s="19">
        <v>0.4</v>
      </c>
      <c r="CL125" s="19">
        <v>0.8</v>
      </c>
      <c r="CM125" s="17" t="s">
        <v>585</v>
      </c>
      <c r="CN125" s="20">
        <v>8</v>
      </c>
      <c r="CO125" s="20">
        <v>80</v>
      </c>
      <c r="CP125" s="17" t="s">
        <v>602</v>
      </c>
      <c r="CQ125" s="17" t="s">
        <v>209</v>
      </c>
      <c r="CR125" s="21">
        <v>5</v>
      </c>
      <c r="CS125" s="21">
        <v>8</v>
      </c>
      <c r="CT125" s="21">
        <v>6</v>
      </c>
      <c r="CU125" s="21">
        <v>4</v>
      </c>
      <c r="CV125" s="21">
        <v>6</v>
      </c>
      <c r="CW125" s="21">
        <v>5</v>
      </c>
      <c r="CX125" s="21">
        <v>5</v>
      </c>
      <c r="CY125" s="21">
        <v>25</v>
      </c>
      <c r="CZ125" s="21">
        <v>8</v>
      </c>
      <c r="DA125" s="21">
        <v>140</v>
      </c>
      <c r="DB125" s="21">
        <v>180</v>
      </c>
      <c r="DC125" s="21">
        <v>200</v>
      </c>
      <c r="DD125" s="21">
        <v>30</v>
      </c>
      <c r="DE125" s="21">
        <v>50</v>
      </c>
      <c r="DF125" s="21">
        <v>60</v>
      </c>
      <c r="DG125" s="21">
        <v>50</v>
      </c>
      <c r="DH125" s="21">
        <v>500</v>
      </c>
      <c r="DI125" s="21">
        <v>120</v>
      </c>
      <c r="DJ125" s="17" t="s">
        <v>603</v>
      </c>
      <c r="DK125" s="17" t="s">
        <v>180</v>
      </c>
      <c r="DL125" s="22">
        <v>75</v>
      </c>
      <c r="DM125" s="17" t="s">
        <v>604</v>
      </c>
      <c r="DN125" s="25" t="s">
        <v>183</v>
      </c>
      <c r="DO125" s="25" t="s">
        <v>183</v>
      </c>
      <c r="DP125" s="25" t="s">
        <v>183</v>
      </c>
      <c r="DQ125" s="24" t="s">
        <v>182</v>
      </c>
      <c r="DR125" s="24" t="s">
        <v>182</v>
      </c>
      <c r="DS125" s="23"/>
      <c r="DT125" s="23"/>
      <c r="DU125" s="23"/>
      <c r="DV125" s="23"/>
      <c r="DW125" s="23"/>
      <c r="DX125" s="23"/>
      <c r="DY125" s="24" t="s">
        <v>182</v>
      </c>
      <c r="DZ125" s="17" t="s">
        <v>605</v>
      </c>
      <c r="EA125" s="17" t="s">
        <v>598</v>
      </c>
      <c r="EB125" s="43" t="s">
        <v>214</v>
      </c>
      <c r="EC125" s="17" t="s">
        <v>606</v>
      </c>
      <c r="ED125" s="27" t="s">
        <v>496</v>
      </c>
      <c r="EE125" s="22">
        <v>3</v>
      </c>
      <c r="EF125" s="54" t="s">
        <v>217</v>
      </c>
    </row>
    <row r="126" spans="1:136" ht="15" customHeight="1" x14ac:dyDescent="0.25">
      <c r="A126" s="16" t="s">
        <v>768</v>
      </c>
      <c r="B126" s="17" t="s">
        <v>409</v>
      </c>
      <c r="C126" s="17" t="s">
        <v>768</v>
      </c>
      <c r="D126" s="18">
        <v>147</v>
      </c>
      <c r="E126" s="18">
        <v>1.47</v>
      </c>
      <c r="F126" s="18">
        <v>27.09</v>
      </c>
      <c r="G126" s="18">
        <v>3.8</v>
      </c>
      <c r="H126" s="18">
        <v>5.33</v>
      </c>
      <c r="I126" s="18">
        <v>6</v>
      </c>
      <c r="J126" s="18">
        <v>0.43</v>
      </c>
      <c r="K126" s="18">
        <v>30</v>
      </c>
      <c r="L126" s="18">
        <v>39</v>
      </c>
      <c r="M126" s="18">
        <v>436</v>
      </c>
      <c r="N126" s="18">
        <v>2</v>
      </c>
      <c r="O126" s="18">
        <v>0.28000000000000003</v>
      </c>
      <c r="P126" s="18">
        <v>0.20699999999999999</v>
      </c>
      <c r="Q126" s="18">
        <v>0.32500000000000001</v>
      </c>
      <c r="R126" s="18">
        <v>0</v>
      </c>
      <c r="S126" s="18">
        <v>44</v>
      </c>
      <c r="T126" s="18">
        <v>0</v>
      </c>
      <c r="U126" s="18">
        <v>19.7</v>
      </c>
      <c r="V126" s="18">
        <v>0.374</v>
      </c>
      <c r="W126" s="18">
        <v>0.2</v>
      </c>
      <c r="X126" s="18">
        <v>1.0740000000000001</v>
      </c>
      <c r="Y126" s="18">
        <v>0.316</v>
      </c>
      <c r="Z126" s="18">
        <v>0</v>
      </c>
      <c r="AA126" s="18">
        <v>36</v>
      </c>
      <c r="AB126" s="18">
        <v>963</v>
      </c>
      <c r="AC126" s="18" t="s">
        <v>769</v>
      </c>
      <c r="AD126" s="18" t="s">
        <v>770</v>
      </c>
      <c r="AE126" s="18" t="s">
        <v>771</v>
      </c>
      <c r="AF126" s="18" t="s">
        <v>772</v>
      </c>
      <c r="AG126" s="18" t="s">
        <v>773</v>
      </c>
      <c r="AH126" s="18" t="s">
        <v>774</v>
      </c>
      <c r="AI126" s="18" t="s">
        <v>226</v>
      </c>
      <c r="AJ126" s="18" t="s">
        <v>337</v>
      </c>
      <c r="AK126" s="18" t="s">
        <v>157</v>
      </c>
      <c r="AL126" s="18" t="s">
        <v>314</v>
      </c>
      <c r="AM126" s="18">
        <v>0</v>
      </c>
      <c r="AN126" s="18" t="s">
        <v>338</v>
      </c>
      <c r="AO126" s="18" t="s">
        <v>484</v>
      </c>
      <c r="AP126" s="18" t="s">
        <v>419</v>
      </c>
      <c r="AQ126" s="18" t="s">
        <v>362</v>
      </c>
      <c r="AR126" s="18">
        <v>22</v>
      </c>
      <c r="AS126" s="18">
        <v>40</v>
      </c>
      <c r="AT126" s="18">
        <v>12</v>
      </c>
      <c r="AU126" s="18">
        <v>45</v>
      </c>
      <c r="AV126" s="18">
        <v>1500</v>
      </c>
      <c r="AW126" s="18">
        <v>2500</v>
      </c>
      <c r="AX126" s="18">
        <v>1200</v>
      </c>
      <c r="AY126" s="18">
        <v>3500</v>
      </c>
      <c r="AZ126" s="18">
        <v>5</v>
      </c>
      <c r="BA126" s="18">
        <v>6.5</v>
      </c>
      <c r="BB126" s="18">
        <v>4.3</v>
      </c>
      <c r="BC126" s="18">
        <v>7.5</v>
      </c>
      <c r="BD126" s="18">
        <v>0</v>
      </c>
      <c r="BE126" s="18">
        <v>0</v>
      </c>
      <c r="BF126" s="18">
        <v>16</v>
      </c>
      <c r="BG126" s="18">
        <v>18</v>
      </c>
      <c r="BH126" s="18">
        <v>800</v>
      </c>
      <c r="BI126" s="18" t="s">
        <v>164</v>
      </c>
      <c r="BJ126" s="18" t="s">
        <v>165</v>
      </c>
      <c r="BK126" s="18" t="s">
        <v>164</v>
      </c>
      <c r="BL126" s="18" t="s">
        <v>317</v>
      </c>
      <c r="BM126" s="18" t="s">
        <v>288</v>
      </c>
      <c r="BN126" s="18" t="s">
        <v>166</v>
      </c>
      <c r="BO126" s="51" t="s">
        <v>250</v>
      </c>
      <c r="BP126" s="51" t="s">
        <v>567</v>
      </c>
      <c r="BQ126" s="51" t="s">
        <v>169</v>
      </c>
      <c r="BR126" s="51" t="s">
        <v>170</v>
      </c>
      <c r="BS126" s="51">
        <v>0</v>
      </c>
      <c r="BT126" s="51">
        <v>0</v>
      </c>
      <c r="BU126" s="51" t="s">
        <v>171</v>
      </c>
      <c r="BV126" s="51" t="s">
        <v>171</v>
      </c>
      <c r="BW126" s="51" t="s">
        <v>172</v>
      </c>
      <c r="BX126" s="51" t="s">
        <v>172</v>
      </c>
      <c r="BY126" s="51">
        <v>0</v>
      </c>
      <c r="BZ126" s="51">
        <v>0</v>
      </c>
      <c r="CA126" s="51" t="s">
        <v>173</v>
      </c>
      <c r="CB126" s="51" t="s">
        <v>775</v>
      </c>
      <c r="CC126" s="51">
        <v>0</v>
      </c>
      <c r="CD126" s="51" t="s">
        <v>776</v>
      </c>
      <c r="CE126" s="51">
        <v>0</v>
      </c>
      <c r="CF126" s="51" t="s">
        <v>777</v>
      </c>
      <c r="CG126" s="51">
        <v>270</v>
      </c>
      <c r="CH126" s="51">
        <v>365</v>
      </c>
      <c r="CI126" s="32">
        <v>20</v>
      </c>
      <c r="CJ126" s="32">
        <v>40</v>
      </c>
      <c r="CK126" s="32">
        <v>10</v>
      </c>
      <c r="CL126" s="32">
        <v>20</v>
      </c>
      <c r="CM126" s="33" t="s">
        <v>568</v>
      </c>
      <c r="CN126" s="34">
        <v>5</v>
      </c>
      <c r="CO126" s="34">
        <v>30</v>
      </c>
      <c r="CP126" s="35" t="s">
        <v>778</v>
      </c>
      <c r="CQ126" s="35" t="s">
        <v>209</v>
      </c>
      <c r="CR126" s="36">
        <v>0</v>
      </c>
      <c r="CS126" s="36">
        <v>0</v>
      </c>
      <c r="CT126" s="36">
        <v>8</v>
      </c>
      <c r="CU126" s="36">
        <v>5</v>
      </c>
      <c r="CV126" s="36">
        <v>8</v>
      </c>
      <c r="CW126" s="36">
        <v>10</v>
      </c>
      <c r="CX126" s="36">
        <v>6</v>
      </c>
      <c r="CY126" s="36">
        <v>20</v>
      </c>
      <c r="CZ126" s="36">
        <v>8</v>
      </c>
      <c r="DA126" s="37">
        <v>0</v>
      </c>
      <c r="DB126" s="37">
        <v>0</v>
      </c>
      <c r="DC126" s="37">
        <v>60</v>
      </c>
      <c r="DD126" s="37">
        <v>35</v>
      </c>
      <c r="DE126" s="37">
        <v>50</v>
      </c>
      <c r="DF126" s="37">
        <v>80</v>
      </c>
      <c r="DG126" s="37">
        <v>40</v>
      </c>
      <c r="DH126" s="37">
        <v>350</v>
      </c>
      <c r="DI126" s="37">
        <v>80</v>
      </c>
      <c r="DJ126" s="38" t="s">
        <v>779</v>
      </c>
      <c r="DK126" s="39" t="s">
        <v>409</v>
      </c>
      <c r="DL126" s="40">
        <v>150</v>
      </c>
      <c r="DM126" s="39" t="s">
        <v>780</v>
      </c>
      <c r="DN126" s="25" t="s">
        <v>183</v>
      </c>
      <c r="DO126" s="25" t="s">
        <v>183</v>
      </c>
      <c r="DP126" s="24" t="s">
        <v>182</v>
      </c>
      <c r="DQ126" s="41"/>
      <c r="DR126" s="41"/>
      <c r="DS126" s="41"/>
      <c r="DT126" s="41"/>
      <c r="DU126" s="41"/>
      <c r="DV126" s="41"/>
      <c r="DW126" s="41"/>
      <c r="DX126" s="24" t="s">
        <v>182</v>
      </c>
      <c r="DY126" s="25" t="s">
        <v>183</v>
      </c>
      <c r="DZ126" s="42" t="s">
        <v>781</v>
      </c>
      <c r="EA126" s="42" t="s">
        <v>782</v>
      </c>
      <c r="EB126" s="43" t="s">
        <v>214</v>
      </c>
      <c r="EC126" s="44" t="s">
        <v>783</v>
      </c>
      <c r="ED126" s="45" t="s">
        <v>371</v>
      </c>
      <c r="EE126" s="46">
        <v>3</v>
      </c>
      <c r="EF126" s="56" t="s">
        <v>497</v>
      </c>
    </row>
    <row r="127" spans="1:136" ht="15" customHeight="1" x14ac:dyDescent="0.25">
      <c r="A127" s="16" t="s">
        <v>2394</v>
      </c>
      <c r="B127" s="29" t="s">
        <v>2325</v>
      </c>
      <c r="C127" s="29" t="s">
        <v>2395</v>
      </c>
      <c r="D127" s="30">
        <v>326</v>
      </c>
      <c r="E127" s="30">
        <v>23</v>
      </c>
      <c r="F127" s="30">
        <v>1.9</v>
      </c>
      <c r="G127" s="30">
        <v>45.7</v>
      </c>
      <c r="H127" s="30">
        <v>13.7</v>
      </c>
      <c r="I127" s="30">
        <v>70</v>
      </c>
      <c r="J127" s="30">
        <v>9.1</v>
      </c>
      <c r="K127" s="30">
        <v>94</v>
      </c>
      <c r="L127" s="30">
        <v>238</v>
      </c>
      <c r="M127" s="30">
        <v>670</v>
      </c>
      <c r="N127" s="30">
        <v>2</v>
      </c>
      <c r="O127" s="30">
        <v>1.6</v>
      </c>
      <c r="P127" s="30"/>
      <c r="Q127" s="30"/>
      <c r="R127" s="30">
        <v>0</v>
      </c>
      <c r="S127" s="30">
        <v>6</v>
      </c>
      <c r="T127" s="30">
        <v>1</v>
      </c>
      <c r="U127" s="30">
        <v>2</v>
      </c>
      <c r="V127" s="30">
        <v>0.44</v>
      </c>
      <c r="W127" s="30">
        <v>0.02</v>
      </c>
      <c r="X127" s="30">
        <v>1.8</v>
      </c>
      <c r="Y127" s="30">
        <v>0.3</v>
      </c>
      <c r="Z127" s="30">
        <v>0</v>
      </c>
      <c r="AA127" s="30">
        <v>70</v>
      </c>
      <c r="AB127" s="31">
        <v>7209</v>
      </c>
      <c r="AC127" s="31" t="s">
        <v>2384</v>
      </c>
      <c r="AD127" s="31" t="s">
        <v>2385</v>
      </c>
      <c r="AE127" s="31" t="s">
        <v>2062</v>
      </c>
      <c r="AF127" s="31" t="s">
        <v>2386</v>
      </c>
      <c r="AG127" s="31" t="s">
        <v>2387</v>
      </c>
      <c r="AH127" s="31" t="s">
        <v>2388</v>
      </c>
      <c r="AI127" s="31" t="s">
        <v>155</v>
      </c>
      <c r="AJ127" s="31" t="s">
        <v>156</v>
      </c>
      <c r="AK127" s="31" t="s">
        <v>157</v>
      </c>
      <c r="AL127" s="31" t="s">
        <v>282</v>
      </c>
      <c r="AM127" s="31" t="s">
        <v>159</v>
      </c>
      <c r="AN127" s="31" t="s">
        <v>1584</v>
      </c>
      <c r="AO127" s="31" t="s">
        <v>2165</v>
      </c>
      <c r="AP127" s="31" t="s">
        <v>2066</v>
      </c>
      <c r="AQ127" s="31" t="s">
        <v>162</v>
      </c>
      <c r="AR127" s="31">
        <v>15</v>
      </c>
      <c r="AS127" s="31">
        <v>29</v>
      </c>
      <c r="AT127" s="31">
        <v>5</v>
      </c>
      <c r="AU127" s="31">
        <v>32</v>
      </c>
      <c r="AV127" s="31">
        <v>600</v>
      </c>
      <c r="AW127" s="31">
        <v>1000</v>
      </c>
      <c r="AX127" s="31">
        <v>250</v>
      </c>
      <c r="AY127" s="31">
        <v>2500</v>
      </c>
      <c r="AZ127" s="31">
        <v>5.5</v>
      </c>
      <c r="BA127" s="31">
        <v>7.5</v>
      </c>
      <c r="BB127" s="31">
        <v>4.5</v>
      </c>
      <c r="BC127" s="31">
        <v>8.1999999999999993</v>
      </c>
      <c r="BD127" s="31">
        <v>30</v>
      </c>
      <c r="BE127" s="31">
        <v>10</v>
      </c>
      <c r="BF127" s="31">
        <v>45</v>
      </c>
      <c r="BG127" s="31">
        <v>55</v>
      </c>
      <c r="BH127" s="31">
        <v>3800</v>
      </c>
      <c r="BI127" s="31" t="s">
        <v>163</v>
      </c>
      <c r="BJ127" s="31" t="s">
        <v>163</v>
      </c>
      <c r="BK127" s="31" t="s">
        <v>163</v>
      </c>
      <c r="BL127" s="31" t="s">
        <v>165</v>
      </c>
      <c r="BM127" s="31" t="s">
        <v>166</v>
      </c>
      <c r="BN127" s="31" t="s">
        <v>201</v>
      </c>
      <c r="BO127" s="31" t="s">
        <v>168</v>
      </c>
      <c r="BP127" s="31" t="s">
        <v>203</v>
      </c>
      <c r="BQ127" s="31" t="s">
        <v>170</v>
      </c>
      <c r="BR127" s="31" t="s">
        <v>230</v>
      </c>
      <c r="BS127" s="31"/>
      <c r="BT127" s="31"/>
      <c r="BU127" s="31" t="s">
        <v>171</v>
      </c>
      <c r="BV127" s="31" t="s">
        <v>231</v>
      </c>
      <c r="BW127" s="31" t="s">
        <v>172</v>
      </c>
      <c r="BX127" s="31" t="s">
        <v>290</v>
      </c>
      <c r="BY127" s="31"/>
      <c r="BZ127" s="31"/>
      <c r="CA127" s="31" t="s">
        <v>1511</v>
      </c>
      <c r="CB127" s="31" t="s">
        <v>790</v>
      </c>
      <c r="CC127" s="31"/>
      <c r="CD127" s="31"/>
      <c r="CE127" s="31"/>
      <c r="CF127" s="31"/>
      <c r="CG127" s="31">
        <v>70</v>
      </c>
      <c r="CH127" s="31">
        <v>240</v>
      </c>
      <c r="CI127" s="19">
        <v>0.2</v>
      </c>
      <c r="CJ127" s="19">
        <v>0.8</v>
      </c>
      <c r="CK127" s="19">
        <v>0.2</v>
      </c>
      <c r="CL127" s="19">
        <v>0.4</v>
      </c>
      <c r="CM127" s="17" t="s">
        <v>1709</v>
      </c>
      <c r="CN127" s="20">
        <v>0.5</v>
      </c>
      <c r="CO127" s="20">
        <v>3.5</v>
      </c>
      <c r="CP127" s="17" t="s">
        <v>2396</v>
      </c>
      <c r="CQ127" s="17" t="s">
        <v>209</v>
      </c>
      <c r="CR127" s="21">
        <v>3</v>
      </c>
      <c r="CS127" s="21">
        <v>2</v>
      </c>
      <c r="CT127" s="21">
        <v>4</v>
      </c>
      <c r="CU127" s="21">
        <v>1</v>
      </c>
      <c r="CV127" s="21">
        <v>2</v>
      </c>
      <c r="CW127" s="21">
        <v>0</v>
      </c>
      <c r="CX127" s="21">
        <v>1</v>
      </c>
      <c r="CY127" s="21">
        <v>4</v>
      </c>
      <c r="CZ127" s="21">
        <v>3</v>
      </c>
      <c r="DA127" s="21">
        <v>110</v>
      </c>
      <c r="DB127" s="21">
        <v>50</v>
      </c>
      <c r="DC127" s="21">
        <v>150</v>
      </c>
      <c r="DD127" s="21">
        <v>10</v>
      </c>
      <c r="DE127" s="21">
        <v>15</v>
      </c>
      <c r="DF127" s="21">
        <v>0</v>
      </c>
      <c r="DG127" s="21">
        <v>10</v>
      </c>
      <c r="DH127" s="21">
        <v>250</v>
      </c>
      <c r="DI127" s="21">
        <v>60</v>
      </c>
      <c r="DJ127" s="17" t="s">
        <v>2397</v>
      </c>
      <c r="DK127" s="17" t="s">
        <v>1979</v>
      </c>
      <c r="DL127" s="22">
        <v>150</v>
      </c>
      <c r="DM127" s="17" t="s">
        <v>2398</v>
      </c>
      <c r="DN127" s="23"/>
      <c r="DO127" s="23"/>
      <c r="DP127" s="23"/>
      <c r="DQ127" s="23"/>
      <c r="DR127" s="23"/>
      <c r="DS127" s="23"/>
      <c r="DT127" s="23"/>
      <c r="DU127" s="23"/>
      <c r="DV127" s="24" t="s">
        <v>182</v>
      </c>
      <c r="DW127" s="25" t="s">
        <v>183</v>
      </c>
      <c r="DX127" s="25" t="s">
        <v>183</v>
      </c>
      <c r="DY127" s="24" t="s">
        <v>182</v>
      </c>
      <c r="DZ127" s="17" t="s">
        <v>2399</v>
      </c>
      <c r="EA127" s="17" t="s">
        <v>440</v>
      </c>
      <c r="EB127" s="48" t="s">
        <v>239</v>
      </c>
      <c r="EC127" s="17" t="s">
        <v>2364</v>
      </c>
      <c r="ED127" s="27" t="s">
        <v>1518</v>
      </c>
      <c r="EE127" s="22">
        <v>1</v>
      </c>
      <c r="EF127" s="9" t="s">
        <v>1519</v>
      </c>
    </row>
    <row r="128" spans="1:136" ht="15" customHeight="1" x14ac:dyDescent="0.25">
      <c r="A128" s="16" t="s">
        <v>730</v>
      </c>
      <c r="B128" s="29" t="s">
        <v>409</v>
      </c>
      <c r="C128" s="29" t="s">
        <v>731</v>
      </c>
      <c r="D128" s="30">
        <v>80.099999999999994</v>
      </c>
      <c r="E128" s="30">
        <v>1.4</v>
      </c>
      <c r="F128" s="30">
        <v>0.5</v>
      </c>
      <c r="G128" s="30">
        <v>16.3</v>
      </c>
      <c r="H128" s="30">
        <v>3.2</v>
      </c>
      <c r="I128" s="30">
        <v>26</v>
      </c>
      <c r="J128" s="30">
        <v>0.28000000000000003</v>
      </c>
      <c r="K128" s="30">
        <v>29</v>
      </c>
      <c r="L128" s="30">
        <v>36</v>
      </c>
      <c r="M128" s="30">
        <v>265</v>
      </c>
      <c r="N128" s="30">
        <v>10</v>
      </c>
      <c r="O128" s="30">
        <v>0.18</v>
      </c>
      <c r="P128" s="30">
        <v>0.15</v>
      </c>
      <c r="Q128" s="30">
        <v>0.16</v>
      </c>
      <c r="R128" s="30">
        <v>0</v>
      </c>
      <c r="S128" s="30">
        <v>0</v>
      </c>
      <c r="T128" s="30">
        <v>0</v>
      </c>
      <c r="U128" s="30">
        <v>21</v>
      </c>
      <c r="V128" s="30">
        <v>5.5E-2</v>
      </c>
      <c r="W128" s="30">
        <v>6.5000000000000002E-2</v>
      </c>
      <c r="X128" s="30">
        <v>0.5</v>
      </c>
      <c r="Y128" s="30">
        <v>0.28000000000000003</v>
      </c>
      <c r="Z128" s="30">
        <v>0</v>
      </c>
      <c r="AA128" s="30">
        <v>49</v>
      </c>
      <c r="AB128" s="31">
        <v>412</v>
      </c>
      <c r="AC128" s="31" t="s">
        <v>732</v>
      </c>
      <c r="AD128" s="31" t="s">
        <v>221</v>
      </c>
      <c r="AE128" s="31" t="s">
        <v>618</v>
      </c>
      <c r="AF128" s="31"/>
      <c r="AG128" s="31" t="s">
        <v>733</v>
      </c>
      <c r="AH128" s="31" t="s">
        <v>734</v>
      </c>
      <c r="AI128" s="31" t="s">
        <v>226</v>
      </c>
      <c r="AJ128" s="31" t="s">
        <v>337</v>
      </c>
      <c r="AK128" s="31" t="s">
        <v>157</v>
      </c>
      <c r="AL128" s="31" t="s">
        <v>314</v>
      </c>
      <c r="AM128" s="31"/>
      <c r="AN128" s="31" t="s">
        <v>417</v>
      </c>
      <c r="AO128" s="31" t="s">
        <v>419</v>
      </c>
      <c r="AP128" s="31" t="s">
        <v>419</v>
      </c>
      <c r="AQ128" s="31" t="s">
        <v>362</v>
      </c>
      <c r="AR128" s="31">
        <v>23</v>
      </c>
      <c r="AS128" s="31">
        <v>27</v>
      </c>
      <c r="AT128" s="31">
        <v>7</v>
      </c>
      <c r="AU128" s="31">
        <v>34</v>
      </c>
      <c r="AV128" s="31">
        <v>1200</v>
      </c>
      <c r="AW128" s="31">
        <v>1400</v>
      </c>
      <c r="AX128" s="31">
        <v>600</v>
      </c>
      <c r="AY128" s="31">
        <v>2200</v>
      </c>
      <c r="AZ128" s="31">
        <v>5</v>
      </c>
      <c r="BA128" s="31">
        <v>7.5</v>
      </c>
      <c r="BB128" s="31">
        <v>4.5</v>
      </c>
      <c r="BC128" s="31">
        <v>8</v>
      </c>
      <c r="BD128" s="31">
        <v>5</v>
      </c>
      <c r="BE128" s="31"/>
      <c r="BF128" s="31">
        <v>25</v>
      </c>
      <c r="BG128" s="31">
        <v>25</v>
      </c>
      <c r="BH128" s="31">
        <v>1500</v>
      </c>
      <c r="BI128" s="31" t="s">
        <v>164</v>
      </c>
      <c r="BJ128" s="31" t="s">
        <v>163</v>
      </c>
      <c r="BK128" s="31" t="s">
        <v>317</v>
      </c>
      <c r="BL128" s="31" t="s">
        <v>163</v>
      </c>
      <c r="BM128" s="31" t="s">
        <v>288</v>
      </c>
      <c r="BN128" s="31" t="s">
        <v>166</v>
      </c>
      <c r="BO128" s="31" t="s">
        <v>202</v>
      </c>
      <c r="BP128" s="31" t="s">
        <v>203</v>
      </c>
      <c r="BQ128" s="31" t="s">
        <v>169</v>
      </c>
      <c r="BR128" s="31" t="s">
        <v>170</v>
      </c>
      <c r="BS128" s="31"/>
      <c r="BT128" s="31"/>
      <c r="BU128" s="31" t="s">
        <v>171</v>
      </c>
      <c r="BV128" s="31" t="s">
        <v>171</v>
      </c>
      <c r="BW128" s="31" t="s">
        <v>172</v>
      </c>
      <c r="BX128" s="31" t="s">
        <v>172</v>
      </c>
      <c r="BY128" s="31">
        <v>-3</v>
      </c>
      <c r="BZ128" s="31">
        <v>0</v>
      </c>
      <c r="CA128" s="31" t="s">
        <v>173</v>
      </c>
      <c r="CB128" s="31" t="s">
        <v>342</v>
      </c>
      <c r="CC128" s="31"/>
      <c r="CD128" s="31"/>
      <c r="CE128" s="31"/>
      <c r="CF128" s="31" t="s">
        <v>672</v>
      </c>
      <c r="CG128" s="31">
        <v>210</v>
      </c>
      <c r="CH128" s="31">
        <v>270</v>
      </c>
      <c r="CI128" s="19">
        <v>3</v>
      </c>
      <c r="CJ128" s="19">
        <v>8</v>
      </c>
      <c r="CK128" s="19">
        <v>3</v>
      </c>
      <c r="CL128" s="19">
        <v>7</v>
      </c>
      <c r="CM128" s="17" t="s">
        <v>735</v>
      </c>
      <c r="CN128" s="20">
        <v>5</v>
      </c>
      <c r="CO128" s="20">
        <v>20</v>
      </c>
      <c r="CP128" s="17" t="s">
        <v>736</v>
      </c>
      <c r="CQ128" s="17" t="s">
        <v>296</v>
      </c>
      <c r="CR128" s="21">
        <v>0</v>
      </c>
      <c r="CS128" s="21">
        <v>0</v>
      </c>
      <c r="CT128" s="21">
        <v>5</v>
      </c>
      <c r="CU128" s="21">
        <v>3</v>
      </c>
      <c r="CV128" s="21">
        <v>5</v>
      </c>
      <c r="CW128" s="21">
        <v>15</v>
      </c>
      <c r="CX128" s="21">
        <v>5</v>
      </c>
      <c r="CY128" s="21">
        <v>20</v>
      </c>
      <c r="CZ128" s="21">
        <v>8</v>
      </c>
      <c r="DA128" s="21">
        <v>0</v>
      </c>
      <c r="DB128" s="21">
        <v>0</v>
      </c>
      <c r="DC128" s="21">
        <v>40</v>
      </c>
      <c r="DD128" s="21">
        <v>20</v>
      </c>
      <c r="DE128" s="21">
        <v>35</v>
      </c>
      <c r="DF128" s="21">
        <v>120</v>
      </c>
      <c r="DG128" s="21">
        <v>30</v>
      </c>
      <c r="DH128" s="21">
        <v>350</v>
      </c>
      <c r="DI128" s="21">
        <v>80</v>
      </c>
      <c r="DJ128" s="17" t="s">
        <v>737</v>
      </c>
      <c r="DK128" s="17" t="s">
        <v>409</v>
      </c>
      <c r="DL128" s="22">
        <v>150</v>
      </c>
      <c r="DM128" s="17" t="s">
        <v>738</v>
      </c>
      <c r="DN128" s="24" t="s">
        <v>182</v>
      </c>
      <c r="DO128" s="25" t="s">
        <v>183</v>
      </c>
      <c r="DP128" s="25" t="s">
        <v>183</v>
      </c>
      <c r="DQ128" s="25" t="s">
        <v>183</v>
      </c>
      <c r="DR128" s="25" t="s">
        <v>183</v>
      </c>
      <c r="DS128" s="24" t="s">
        <v>182</v>
      </c>
      <c r="DT128" s="23"/>
      <c r="DU128" s="23"/>
      <c r="DV128" s="23"/>
      <c r="DW128" s="23"/>
      <c r="DX128" s="23"/>
      <c r="DY128" s="23"/>
      <c r="DZ128" s="17" t="s">
        <v>739</v>
      </c>
      <c r="EA128" s="17" t="s">
        <v>740</v>
      </c>
      <c r="EB128" s="43" t="s">
        <v>214</v>
      </c>
      <c r="EC128" s="17" t="s">
        <v>630</v>
      </c>
      <c r="ED128" s="27" t="s">
        <v>304</v>
      </c>
      <c r="EE128" s="22">
        <v>3</v>
      </c>
      <c r="EF128" s="55" t="s">
        <v>741</v>
      </c>
    </row>
    <row r="129" spans="1:136" ht="15" customHeight="1" x14ac:dyDescent="0.25">
      <c r="A129" s="16" t="s">
        <v>1791</v>
      </c>
      <c r="B129" s="17" t="s">
        <v>1700</v>
      </c>
      <c r="C129" s="17" t="s">
        <v>1792</v>
      </c>
      <c r="D129" s="18">
        <v>25.6</v>
      </c>
      <c r="E129" s="18">
        <v>3.3</v>
      </c>
      <c r="F129" s="18">
        <v>0</v>
      </c>
      <c r="G129" s="18">
        <v>0.3</v>
      </c>
      <c r="H129" s="18">
        <v>5.2</v>
      </c>
      <c r="I129" s="18">
        <v>215</v>
      </c>
      <c r="J129" s="18">
        <v>1.5</v>
      </c>
      <c r="K129" s="18">
        <v>45</v>
      </c>
      <c r="L129" s="18">
        <v>68</v>
      </c>
      <c r="M129" s="18">
        <v>435</v>
      </c>
      <c r="N129" s="18">
        <v>86</v>
      </c>
      <c r="O129" s="18">
        <v>0.4</v>
      </c>
      <c r="P129" s="18">
        <v>0.4</v>
      </c>
      <c r="Q129" s="18">
        <v>0.7</v>
      </c>
      <c r="R129" s="18">
        <v>0</v>
      </c>
      <c r="S129" s="18">
        <v>192</v>
      </c>
      <c r="T129" s="18">
        <v>1</v>
      </c>
      <c r="U129" s="18">
        <v>88</v>
      </c>
      <c r="V129" s="18">
        <v>0.05</v>
      </c>
      <c r="W129" s="18">
        <v>0.11</v>
      </c>
      <c r="X129" s="18">
        <v>0.55000000000000004</v>
      </c>
      <c r="Y129" s="18">
        <v>0.26</v>
      </c>
      <c r="Z129" s="18">
        <v>0</v>
      </c>
      <c r="AA129" s="18">
        <v>125</v>
      </c>
      <c r="AB129" s="18">
        <v>3867</v>
      </c>
      <c r="AC129" s="18" t="s">
        <v>1793</v>
      </c>
      <c r="AD129" s="18" t="s">
        <v>1794</v>
      </c>
      <c r="AE129" s="18" t="s">
        <v>152</v>
      </c>
      <c r="AF129" s="18" t="s">
        <v>1795</v>
      </c>
      <c r="AG129" s="18" t="s">
        <v>1796</v>
      </c>
      <c r="AH129" s="18" t="s">
        <v>1797</v>
      </c>
      <c r="AI129" s="18" t="s">
        <v>155</v>
      </c>
      <c r="AJ129" s="18" t="s">
        <v>156</v>
      </c>
      <c r="AK129" s="18" t="s">
        <v>157</v>
      </c>
      <c r="AL129" s="18" t="s">
        <v>199</v>
      </c>
      <c r="AM129" s="18"/>
      <c r="AN129" s="18"/>
      <c r="AO129" s="18" t="s">
        <v>1692</v>
      </c>
      <c r="AP129" s="18" t="s">
        <v>286</v>
      </c>
      <c r="AQ129" s="18" t="s">
        <v>362</v>
      </c>
      <c r="AR129" s="18">
        <v>15</v>
      </c>
      <c r="AS129" s="18">
        <v>22</v>
      </c>
      <c r="AT129" s="18">
        <v>7</v>
      </c>
      <c r="AU129" s="18">
        <v>30</v>
      </c>
      <c r="AV129" s="18">
        <v>450</v>
      </c>
      <c r="AW129" s="18">
        <v>1000</v>
      </c>
      <c r="AX129" s="18">
        <v>300</v>
      </c>
      <c r="AY129" s="18">
        <v>2800</v>
      </c>
      <c r="AZ129" s="18">
        <v>5.4</v>
      </c>
      <c r="BA129" s="18">
        <v>6</v>
      </c>
      <c r="BB129" s="18">
        <v>4.5</v>
      </c>
      <c r="BC129" s="18">
        <v>8.3000000000000007</v>
      </c>
      <c r="BD129" s="18">
        <v>20</v>
      </c>
      <c r="BE129" s="18"/>
      <c r="BF129" s="18">
        <v>40</v>
      </c>
      <c r="BG129" s="18">
        <v>50</v>
      </c>
      <c r="BH129" s="18">
        <v>3000</v>
      </c>
      <c r="BI129" s="18" t="s">
        <v>164</v>
      </c>
      <c r="BJ129" s="18" t="s">
        <v>164</v>
      </c>
      <c r="BK129" s="18" t="s">
        <v>163</v>
      </c>
      <c r="BL129" s="18" t="s">
        <v>165</v>
      </c>
      <c r="BM129" s="18" t="s">
        <v>201</v>
      </c>
      <c r="BN129" s="18" t="s">
        <v>201</v>
      </c>
      <c r="BO129" s="18" t="s">
        <v>567</v>
      </c>
      <c r="BP129" s="18" t="s">
        <v>203</v>
      </c>
      <c r="BQ129" s="18" t="s">
        <v>169</v>
      </c>
      <c r="BR129" s="18" t="s">
        <v>230</v>
      </c>
      <c r="BS129" s="18"/>
      <c r="BT129" s="18"/>
      <c r="BU129" s="18" t="s">
        <v>171</v>
      </c>
      <c r="BV129" s="18" t="s">
        <v>231</v>
      </c>
      <c r="BW129" s="18" t="s">
        <v>172</v>
      </c>
      <c r="BX129" s="18" t="s">
        <v>172</v>
      </c>
      <c r="BY129" s="18">
        <v>-5</v>
      </c>
      <c r="BZ129" s="18">
        <v>0</v>
      </c>
      <c r="CA129" s="18" t="s">
        <v>173</v>
      </c>
      <c r="CB129" s="18" t="s">
        <v>387</v>
      </c>
      <c r="CC129" s="18"/>
      <c r="CD129" s="18"/>
      <c r="CE129" s="18"/>
      <c r="CF129" s="18"/>
      <c r="CG129" s="18">
        <v>60</v>
      </c>
      <c r="CH129" s="18">
        <v>85</v>
      </c>
      <c r="CI129" s="19">
        <v>0.5</v>
      </c>
      <c r="CJ129" s="19">
        <v>1.2</v>
      </c>
      <c r="CK129" s="19">
        <v>0.4</v>
      </c>
      <c r="CL129" s="19">
        <v>0.7</v>
      </c>
      <c r="CM129" s="17" t="s">
        <v>176</v>
      </c>
      <c r="CN129" s="20">
        <v>10</v>
      </c>
      <c r="CO129" s="20">
        <v>40</v>
      </c>
      <c r="CP129" s="17" t="s">
        <v>1798</v>
      </c>
      <c r="CQ129" s="17" t="s">
        <v>1799</v>
      </c>
      <c r="CR129" s="21">
        <v>4</v>
      </c>
      <c r="CS129" s="21">
        <v>4</v>
      </c>
      <c r="CT129" s="21">
        <v>5</v>
      </c>
      <c r="CU129" s="21">
        <v>3</v>
      </c>
      <c r="CV129" s="21">
        <v>4</v>
      </c>
      <c r="CW129" s="21">
        <v>0</v>
      </c>
      <c r="CX129" s="21">
        <v>3</v>
      </c>
      <c r="CY129" s="21">
        <v>15</v>
      </c>
      <c r="CZ129" s="21">
        <v>6</v>
      </c>
      <c r="DA129" s="21">
        <v>130</v>
      </c>
      <c r="DB129" s="21">
        <v>100</v>
      </c>
      <c r="DC129" s="21">
        <v>160</v>
      </c>
      <c r="DD129" s="21">
        <v>25</v>
      </c>
      <c r="DE129" s="21">
        <v>30</v>
      </c>
      <c r="DF129" s="21">
        <v>0</v>
      </c>
      <c r="DG129" s="21">
        <v>30</v>
      </c>
      <c r="DH129" s="21">
        <v>350</v>
      </c>
      <c r="DI129" s="21">
        <v>100</v>
      </c>
      <c r="DJ129" s="17" t="s">
        <v>1800</v>
      </c>
      <c r="DK129" s="17" t="s">
        <v>180</v>
      </c>
      <c r="DL129" s="22">
        <v>75</v>
      </c>
      <c r="DM129" s="17" t="s">
        <v>1801</v>
      </c>
      <c r="DN129" s="23"/>
      <c r="DO129" s="23"/>
      <c r="DP129" s="23"/>
      <c r="DQ129" s="24" t="s">
        <v>182</v>
      </c>
      <c r="DR129" s="25" t="s">
        <v>183</v>
      </c>
      <c r="DS129" s="25" t="s">
        <v>183</v>
      </c>
      <c r="DT129" s="25" t="s">
        <v>183</v>
      </c>
      <c r="DU129" s="25" t="s">
        <v>183</v>
      </c>
      <c r="DV129" s="25" t="s">
        <v>183</v>
      </c>
      <c r="DW129" s="24" t="s">
        <v>182</v>
      </c>
      <c r="DX129" s="23"/>
      <c r="DY129" s="23"/>
      <c r="DZ129" s="17" t="s">
        <v>1802</v>
      </c>
      <c r="EA129" s="17" t="s">
        <v>1803</v>
      </c>
      <c r="EB129" s="43" t="s">
        <v>214</v>
      </c>
      <c r="EC129" s="17" t="s">
        <v>1804</v>
      </c>
      <c r="ED129" s="27" t="s">
        <v>371</v>
      </c>
      <c r="EE129" s="22">
        <v>2</v>
      </c>
      <c r="EF129" s="54" t="s">
        <v>304</v>
      </c>
    </row>
    <row r="130" spans="1:136" ht="15" customHeight="1" x14ac:dyDescent="0.25">
      <c r="A130" s="16" t="s">
        <v>147</v>
      </c>
      <c r="B130" s="17" t="s">
        <v>148</v>
      </c>
      <c r="C130" s="17" t="s">
        <v>149</v>
      </c>
      <c r="D130" s="18">
        <v>44</v>
      </c>
      <c r="E130" s="18">
        <v>3.8</v>
      </c>
      <c r="F130" s="18">
        <v>0.3</v>
      </c>
      <c r="G130" s="18">
        <v>4.2</v>
      </c>
      <c r="H130" s="18">
        <v>4.5999999999999996</v>
      </c>
      <c r="I130" s="18">
        <v>24</v>
      </c>
      <c r="J130" s="18">
        <v>0.69</v>
      </c>
      <c r="K130" s="18">
        <v>22</v>
      </c>
      <c r="L130" s="18">
        <v>74</v>
      </c>
      <c r="M130" s="18">
        <v>420</v>
      </c>
      <c r="N130" s="18">
        <v>31</v>
      </c>
      <c r="O130" s="18">
        <v>0.34</v>
      </c>
      <c r="P130" s="18">
        <v>7.8E-2</v>
      </c>
      <c r="Q130" s="18">
        <v>0.22</v>
      </c>
      <c r="R130" s="18">
        <v>0</v>
      </c>
      <c r="S130" s="18">
        <v>15</v>
      </c>
      <c r="T130" s="18">
        <v>0</v>
      </c>
      <c r="U130" s="18">
        <v>120</v>
      </c>
      <c r="V130" s="18">
        <v>0.12</v>
      </c>
      <c r="W130" s="18">
        <v>0.113</v>
      </c>
      <c r="X130" s="18">
        <v>0.4</v>
      </c>
      <c r="Y130" s="18">
        <v>0.26</v>
      </c>
      <c r="Z130" s="18">
        <v>0</v>
      </c>
      <c r="AA130" s="18">
        <v>106</v>
      </c>
      <c r="AB130" s="18">
        <v>555</v>
      </c>
      <c r="AC130" s="18" t="s">
        <v>150</v>
      </c>
      <c r="AD130" s="18" t="s">
        <v>151</v>
      </c>
      <c r="AE130" s="18" t="s">
        <v>152</v>
      </c>
      <c r="AF130" s="18"/>
      <c r="AG130" s="18" t="s">
        <v>153</v>
      </c>
      <c r="AH130" s="18" t="s">
        <v>154</v>
      </c>
      <c r="AI130" s="18" t="s">
        <v>155</v>
      </c>
      <c r="AJ130" s="18" t="s">
        <v>156</v>
      </c>
      <c r="AK130" s="18" t="s">
        <v>157</v>
      </c>
      <c r="AL130" s="18" t="s">
        <v>158</v>
      </c>
      <c r="AM130" s="18" t="s">
        <v>159</v>
      </c>
      <c r="AN130" s="18" t="s">
        <v>160</v>
      </c>
      <c r="AO130" s="18" t="s">
        <v>161</v>
      </c>
      <c r="AP130" s="18" t="s">
        <v>161</v>
      </c>
      <c r="AQ130" s="18" t="s">
        <v>162</v>
      </c>
      <c r="AR130" s="18">
        <v>12</v>
      </c>
      <c r="AS130" s="18">
        <v>20</v>
      </c>
      <c r="AT130" s="18">
        <v>7</v>
      </c>
      <c r="AU130" s="18">
        <v>25</v>
      </c>
      <c r="AV130" s="18">
        <v>900</v>
      </c>
      <c r="AW130" s="18">
        <v>1600</v>
      </c>
      <c r="AX130" s="18">
        <v>500</v>
      </c>
      <c r="AY130" s="18">
        <v>3000</v>
      </c>
      <c r="AZ130" s="18">
        <v>6</v>
      </c>
      <c r="BA130" s="18">
        <v>7</v>
      </c>
      <c r="BB130" s="18">
        <v>4.5</v>
      </c>
      <c r="BC130" s="18">
        <v>7.8</v>
      </c>
      <c r="BD130" s="18">
        <v>30</v>
      </c>
      <c r="BE130" s="18">
        <v>10</v>
      </c>
      <c r="BF130" s="18">
        <v>45</v>
      </c>
      <c r="BG130" s="18">
        <v>60</v>
      </c>
      <c r="BH130" s="18">
        <v>2000</v>
      </c>
      <c r="BI130" s="18" t="s">
        <v>163</v>
      </c>
      <c r="BJ130" s="18" t="s">
        <v>164</v>
      </c>
      <c r="BK130" s="18" t="s">
        <v>163</v>
      </c>
      <c r="BL130" s="18" t="s">
        <v>165</v>
      </c>
      <c r="BM130" s="18" t="s">
        <v>166</v>
      </c>
      <c r="BN130" s="18" t="s">
        <v>166</v>
      </c>
      <c r="BO130" s="18" t="s">
        <v>167</v>
      </c>
      <c r="BP130" s="18" t="s">
        <v>168</v>
      </c>
      <c r="BQ130" s="18" t="s">
        <v>169</v>
      </c>
      <c r="BR130" s="18" t="s">
        <v>170</v>
      </c>
      <c r="BS130" s="18"/>
      <c r="BT130" s="18"/>
      <c r="BU130" s="18" t="s">
        <v>171</v>
      </c>
      <c r="BV130" s="18" t="s">
        <v>171</v>
      </c>
      <c r="BW130" s="18" t="s">
        <v>172</v>
      </c>
      <c r="BX130" s="18" t="s">
        <v>172</v>
      </c>
      <c r="BY130" s="18">
        <v>-5</v>
      </c>
      <c r="BZ130" s="18">
        <v>-5</v>
      </c>
      <c r="CA130" s="18" t="s">
        <v>173</v>
      </c>
      <c r="CB130" s="18" t="s">
        <v>174</v>
      </c>
      <c r="CC130" s="18"/>
      <c r="CD130" s="18"/>
      <c r="CE130" s="18"/>
      <c r="CF130" s="18" t="s">
        <v>175</v>
      </c>
      <c r="CG130" s="18">
        <v>100</v>
      </c>
      <c r="CH130" s="18">
        <v>130</v>
      </c>
      <c r="CI130" s="19">
        <v>0.6</v>
      </c>
      <c r="CJ130" s="19">
        <v>1.2</v>
      </c>
      <c r="CK130" s="19">
        <v>0.4</v>
      </c>
      <c r="CL130" s="19">
        <v>0.6</v>
      </c>
      <c r="CM130" s="17" t="s">
        <v>176</v>
      </c>
      <c r="CN130" s="20">
        <v>6</v>
      </c>
      <c r="CO130" s="20">
        <v>22</v>
      </c>
      <c r="CP130" s="17" t="s">
        <v>177</v>
      </c>
      <c r="CQ130" s="17" t="s">
        <v>178</v>
      </c>
      <c r="CR130" s="21">
        <v>5</v>
      </c>
      <c r="CS130" s="21">
        <v>5</v>
      </c>
      <c r="CT130" s="21">
        <v>6</v>
      </c>
      <c r="CU130" s="21">
        <v>3</v>
      </c>
      <c r="CV130" s="21">
        <v>5</v>
      </c>
      <c r="CW130" s="21">
        <v>3</v>
      </c>
      <c r="CX130" s="21">
        <v>4</v>
      </c>
      <c r="CY130" s="21">
        <v>15</v>
      </c>
      <c r="CZ130" s="21">
        <v>8</v>
      </c>
      <c r="DA130" s="21">
        <v>140</v>
      </c>
      <c r="DB130" s="21">
        <v>130</v>
      </c>
      <c r="DC130" s="21">
        <v>200</v>
      </c>
      <c r="DD130" s="21">
        <v>25</v>
      </c>
      <c r="DE130" s="21">
        <v>40</v>
      </c>
      <c r="DF130" s="21">
        <v>50</v>
      </c>
      <c r="DG130" s="21">
        <v>40</v>
      </c>
      <c r="DH130" s="21">
        <v>400</v>
      </c>
      <c r="DI130" s="21">
        <v>150</v>
      </c>
      <c r="DJ130" s="17" t="s">
        <v>179</v>
      </c>
      <c r="DK130" s="17" t="s">
        <v>180</v>
      </c>
      <c r="DL130" s="22">
        <v>75</v>
      </c>
      <c r="DM130" s="17" t="s">
        <v>181</v>
      </c>
      <c r="DN130" s="23"/>
      <c r="DO130" s="23"/>
      <c r="DP130" s="23"/>
      <c r="DQ130" s="23"/>
      <c r="DR130" s="24" t="s">
        <v>182</v>
      </c>
      <c r="DS130" s="25" t="s">
        <v>183</v>
      </c>
      <c r="DT130" s="25" t="s">
        <v>183</v>
      </c>
      <c r="DU130" s="25" t="s">
        <v>183</v>
      </c>
      <c r="DV130" s="25" t="s">
        <v>183</v>
      </c>
      <c r="DW130" s="24" t="s">
        <v>182</v>
      </c>
      <c r="DX130" s="23"/>
      <c r="DY130" s="23"/>
      <c r="DZ130" s="17" t="s">
        <v>184</v>
      </c>
      <c r="EA130" s="17" t="s">
        <v>185</v>
      </c>
      <c r="EB130" s="26" t="s">
        <v>186</v>
      </c>
      <c r="EC130" s="17" t="s">
        <v>187</v>
      </c>
      <c r="ED130" s="27" t="s">
        <v>188</v>
      </c>
      <c r="EE130" s="22">
        <v>3</v>
      </c>
      <c r="EF130" s="28" t="s">
        <v>189</v>
      </c>
    </row>
    <row r="131" spans="1:136" ht="15" customHeight="1" x14ac:dyDescent="0.25">
      <c r="A131" s="16" t="s">
        <v>615</v>
      </c>
      <c r="B131" s="17" t="s">
        <v>409</v>
      </c>
      <c r="C131" s="17" t="s">
        <v>615</v>
      </c>
      <c r="D131" s="18">
        <v>75</v>
      </c>
      <c r="E131" s="18">
        <v>1.57</v>
      </c>
      <c r="F131" s="18">
        <v>17.71</v>
      </c>
      <c r="G131" s="18">
        <v>3</v>
      </c>
      <c r="H131" s="18">
        <v>0.68</v>
      </c>
      <c r="I131" s="18">
        <v>10</v>
      </c>
      <c r="J131" s="18">
        <v>0.27</v>
      </c>
      <c r="K131" s="18">
        <v>17</v>
      </c>
      <c r="L131" s="18">
        <v>26</v>
      </c>
      <c r="M131" s="18">
        <v>287</v>
      </c>
      <c r="N131" s="18">
        <v>7</v>
      </c>
      <c r="O131" s="18">
        <v>0.16</v>
      </c>
      <c r="P131" s="18">
        <v>6.9000000000000006E-2</v>
      </c>
      <c r="Q131" s="18">
        <v>9.2999999999999999E-2</v>
      </c>
      <c r="R131" s="18">
        <v>0</v>
      </c>
      <c r="S131" s="18">
        <v>5</v>
      </c>
      <c r="T131" s="18">
        <v>0.27</v>
      </c>
      <c r="U131" s="18">
        <v>12.6</v>
      </c>
      <c r="V131" s="18">
        <v>0.10100000000000001</v>
      </c>
      <c r="W131" s="18">
        <v>0.13100000000000001</v>
      </c>
      <c r="X131" s="18">
        <v>0.64400000000000002</v>
      </c>
      <c r="Y131" s="18">
        <v>0.25700000000000001</v>
      </c>
      <c r="Z131" s="18">
        <v>0</v>
      </c>
      <c r="AA131" s="18">
        <v>23</v>
      </c>
      <c r="AB131" s="18">
        <v>2194</v>
      </c>
      <c r="AC131" s="18" t="s">
        <v>616</v>
      </c>
      <c r="AD131" s="18" t="s">
        <v>617</v>
      </c>
      <c r="AE131" s="18" t="s">
        <v>618</v>
      </c>
      <c r="AF131" s="18">
        <v>0</v>
      </c>
      <c r="AG131" s="18" t="s">
        <v>619</v>
      </c>
      <c r="AH131" s="18" t="s">
        <v>620</v>
      </c>
      <c r="AI131" s="18" t="s">
        <v>155</v>
      </c>
      <c r="AJ131" s="18" t="s">
        <v>621</v>
      </c>
      <c r="AK131" s="18" t="s">
        <v>157</v>
      </c>
      <c r="AL131" s="18" t="s">
        <v>314</v>
      </c>
      <c r="AM131" s="18">
        <v>0</v>
      </c>
      <c r="AN131" s="18" t="s">
        <v>622</v>
      </c>
      <c r="AO131" s="18" t="s">
        <v>484</v>
      </c>
      <c r="AP131" s="18" t="s">
        <v>419</v>
      </c>
      <c r="AQ131" s="18" t="s">
        <v>162</v>
      </c>
      <c r="AR131" s="18">
        <v>17</v>
      </c>
      <c r="AS131" s="18">
        <v>25</v>
      </c>
      <c r="AT131" s="18">
        <v>7</v>
      </c>
      <c r="AU131" s="18">
        <v>32</v>
      </c>
      <c r="AV131" s="18">
        <v>800</v>
      </c>
      <c r="AW131" s="18">
        <v>1200</v>
      </c>
      <c r="AX131" s="18">
        <v>600</v>
      </c>
      <c r="AY131" s="18">
        <v>2200</v>
      </c>
      <c r="AZ131" s="18">
        <v>6</v>
      </c>
      <c r="BA131" s="18">
        <v>7.5</v>
      </c>
      <c r="BB131" s="18">
        <v>5.5</v>
      </c>
      <c r="BC131" s="18">
        <v>8</v>
      </c>
      <c r="BD131" s="18">
        <v>0</v>
      </c>
      <c r="BE131" s="18">
        <v>0</v>
      </c>
      <c r="BF131" s="18">
        <v>10</v>
      </c>
      <c r="BG131" s="18">
        <v>40</v>
      </c>
      <c r="BH131" s="18">
        <v>2500</v>
      </c>
      <c r="BI131" s="18" t="s">
        <v>163</v>
      </c>
      <c r="BJ131" s="18" t="s">
        <v>164</v>
      </c>
      <c r="BK131" s="18" t="s">
        <v>163</v>
      </c>
      <c r="BL131" s="18" t="s">
        <v>317</v>
      </c>
      <c r="BM131" s="18" t="s">
        <v>288</v>
      </c>
      <c r="BN131" s="18" t="s">
        <v>166</v>
      </c>
      <c r="BO131" s="51" t="s">
        <v>250</v>
      </c>
      <c r="BP131" s="51" t="s">
        <v>203</v>
      </c>
      <c r="BQ131" s="51" t="s">
        <v>169</v>
      </c>
      <c r="BR131" s="51" t="s">
        <v>170</v>
      </c>
      <c r="BS131" s="51">
        <v>0</v>
      </c>
      <c r="BT131" s="51">
        <v>0</v>
      </c>
      <c r="BU131" s="51" t="s">
        <v>171</v>
      </c>
      <c r="BV131" s="51" t="s">
        <v>171</v>
      </c>
      <c r="BW131" s="51" t="s">
        <v>172</v>
      </c>
      <c r="BX131" s="51" t="s">
        <v>172</v>
      </c>
      <c r="BY131" s="51">
        <v>-1</v>
      </c>
      <c r="BZ131" s="51">
        <v>0</v>
      </c>
      <c r="CA131" s="51" t="s">
        <v>173</v>
      </c>
      <c r="CB131" s="51" t="s">
        <v>623</v>
      </c>
      <c r="CC131" s="51">
        <v>0</v>
      </c>
      <c r="CD131" s="51">
        <v>0</v>
      </c>
      <c r="CE131" s="51">
        <v>0</v>
      </c>
      <c r="CF131" s="51">
        <v>0</v>
      </c>
      <c r="CG131" s="51">
        <v>240</v>
      </c>
      <c r="CH131" s="51">
        <v>270</v>
      </c>
      <c r="CI131" s="19">
        <v>4</v>
      </c>
      <c r="CJ131" s="19">
        <v>9</v>
      </c>
      <c r="CK131" s="19">
        <v>4</v>
      </c>
      <c r="CL131" s="19">
        <v>8</v>
      </c>
      <c r="CM131" s="17" t="s">
        <v>624</v>
      </c>
      <c r="CN131" s="20">
        <v>5</v>
      </c>
      <c r="CO131" s="20">
        <v>20</v>
      </c>
      <c r="CP131" s="17" t="s">
        <v>625</v>
      </c>
      <c r="CQ131" s="17" t="s">
        <v>296</v>
      </c>
      <c r="CR131" s="21">
        <v>0</v>
      </c>
      <c r="CS131" s="21">
        <v>0</v>
      </c>
      <c r="CT131" s="21">
        <v>5</v>
      </c>
      <c r="CU131" s="21">
        <v>3</v>
      </c>
      <c r="CV131" s="21">
        <v>5</v>
      </c>
      <c r="CW131" s="21">
        <v>15</v>
      </c>
      <c r="CX131" s="21">
        <v>5</v>
      </c>
      <c r="CY131" s="21">
        <v>20</v>
      </c>
      <c r="CZ131" s="21">
        <v>8</v>
      </c>
      <c r="DA131" s="21">
        <v>0</v>
      </c>
      <c r="DB131" s="21">
        <v>0</v>
      </c>
      <c r="DC131" s="21">
        <v>40</v>
      </c>
      <c r="DD131" s="21">
        <v>20</v>
      </c>
      <c r="DE131" s="21">
        <v>35</v>
      </c>
      <c r="DF131" s="21">
        <v>120</v>
      </c>
      <c r="DG131" s="21">
        <v>30</v>
      </c>
      <c r="DH131" s="21">
        <v>350</v>
      </c>
      <c r="DI131" s="21">
        <v>80</v>
      </c>
      <c r="DJ131" s="17" t="s">
        <v>626</v>
      </c>
      <c r="DK131" s="17" t="s">
        <v>409</v>
      </c>
      <c r="DL131" s="22">
        <v>150</v>
      </c>
      <c r="DM131" s="17" t="s">
        <v>627</v>
      </c>
      <c r="DN131" s="23"/>
      <c r="DO131" s="23"/>
      <c r="DP131" s="24" t="s">
        <v>182</v>
      </c>
      <c r="DQ131" s="25" t="s">
        <v>183</v>
      </c>
      <c r="DR131" s="25" t="s">
        <v>183</v>
      </c>
      <c r="DS131" s="25" t="s">
        <v>183</v>
      </c>
      <c r="DT131" s="24" t="s">
        <v>182</v>
      </c>
      <c r="DU131" s="23"/>
      <c r="DV131" s="23"/>
      <c r="DW131" s="23"/>
      <c r="DX131" s="23"/>
      <c r="DY131" s="23"/>
      <c r="DZ131" s="17" t="s">
        <v>628</v>
      </c>
      <c r="EA131" s="17" t="s">
        <v>629</v>
      </c>
      <c r="EB131" s="43" t="s">
        <v>214</v>
      </c>
      <c r="EC131" s="17" t="s">
        <v>630</v>
      </c>
      <c r="ED131" s="27" t="s">
        <v>216</v>
      </c>
      <c r="EE131" s="22">
        <v>3</v>
      </c>
      <c r="EF131" s="55" t="s">
        <v>531</v>
      </c>
    </row>
    <row r="132" spans="1:136" ht="15" customHeight="1" x14ac:dyDescent="0.25">
      <c r="A132" s="16" t="s">
        <v>305</v>
      </c>
      <c r="B132" s="17" t="s">
        <v>306</v>
      </c>
      <c r="C132" s="17" t="s">
        <v>307</v>
      </c>
      <c r="D132" s="18">
        <v>112.1</v>
      </c>
      <c r="E132" s="18">
        <v>1.9</v>
      </c>
      <c r="F132" s="18">
        <v>0.2</v>
      </c>
      <c r="G132" s="18">
        <v>23.4</v>
      </c>
      <c r="H132" s="18">
        <v>3.5</v>
      </c>
      <c r="I132" s="18">
        <v>12</v>
      </c>
      <c r="J132" s="18">
        <v>0.7</v>
      </c>
      <c r="K132" s="18">
        <v>20</v>
      </c>
      <c r="L132" s="18">
        <v>84</v>
      </c>
      <c r="M132" s="18">
        <v>300</v>
      </c>
      <c r="N132" s="18">
        <v>6</v>
      </c>
      <c r="O132" s="18">
        <v>0.6</v>
      </c>
      <c r="P132" s="18"/>
      <c r="Q132" s="18"/>
      <c r="R132" s="18">
        <v>0</v>
      </c>
      <c r="S132" s="18">
        <v>5</v>
      </c>
      <c r="T132" s="18">
        <v>2.38</v>
      </c>
      <c r="U132" s="18">
        <v>16</v>
      </c>
      <c r="V132" s="18">
        <v>0.06</v>
      </c>
      <c r="W132" s="18">
        <v>0.02</v>
      </c>
      <c r="X132" s="18">
        <v>0.7</v>
      </c>
      <c r="Y132" s="18">
        <v>0.22</v>
      </c>
      <c r="Z132" s="18">
        <v>0</v>
      </c>
      <c r="AA132" s="18">
        <v>62</v>
      </c>
      <c r="AB132" s="18">
        <v>758</v>
      </c>
      <c r="AC132" s="18" t="s">
        <v>308</v>
      </c>
      <c r="AD132" s="18" t="s">
        <v>309</v>
      </c>
      <c r="AE132" s="18" t="s">
        <v>310</v>
      </c>
      <c r="AF132" s="18" t="s">
        <v>311</v>
      </c>
      <c r="AG132" s="18" t="s">
        <v>312</v>
      </c>
      <c r="AH132" s="18" t="s">
        <v>313</v>
      </c>
      <c r="AI132" s="18" t="s">
        <v>226</v>
      </c>
      <c r="AJ132" s="18" t="s">
        <v>156</v>
      </c>
      <c r="AK132" s="18" t="s">
        <v>157</v>
      </c>
      <c r="AL132" s="18" t="s">
        <v>314</v>
      </c>
      <c r="AM132" s="18"/>
      <c r="AN132" s="18"/>
      <c r="AO132" s="18" t="s">
        <v>315</v>
      </c>
      <c r="AP132" s="18" t="s">
        <v>316</v>
      </c>
      <c r="AQ132" s="18" t="s">
        <v>162</v>
      </c>
      <c r="AR132" s="18">
        <v>21</v>
      </c>
      <c r="AS132" s="18">
        <v>28</v>
      </c>
      <c r="AT132" s="18">
        <v>10</v>
      </c>
      <c r="AU132" s="18">
        <v>35</v>
      </c>
      <c r="AV132" s="18">
        <v>1800</v>
      </c>
      <c r="AW132" s="18">
        <v>2700</v>
      </c>
      <c r="AX132" s="18">
        <v>1000</v>
      </c>
      <c r="AY132" s="18">
        <v>4100</v>
      </c>
      <c r="AZ132" s="18">
        <v>5.5</v>
      </c>
      <c r="BA132" s="18">
        <v>6.5</v>
      </c>
      <c r="BB132" s="18">
        <v>4.3</v>
      </c>
      <c r="BC132" s="18">
        <v>8.1999999999999993</v>
      </c>
      <c r="BD132" s="18"/>
      <c r="BE132" s="18"/>
      <c r="BF132" s="18">
        <v>18</v>
      </c>
      <c r="BG132" s="18">
        <v>35</v>
      </c>
      <c r="BH132" s="18">
        <v>2700</v>
      </c>
      <c r="BI132" s="18" t="s">
        <v>164</v>
      </c>
      <c r="BJ132" s="18" t="s">
        <v>164</v>
      </c>
      <c r="BK132" s="18" t="s">
        <v>163</v>
      </c>
      <c r="BL132" s="18" t="s">
        <v>317</v>
      </c>
      <c r="BM132" s="18" t="s">
        <v>166</v>
      </c>
      <c r="BN132" s="18" t="s">
        <v>166</v>
      </c>
      <c r="BO132" s="18" t="s">
        <v>167</v>
      </c>
      <c r="BP132" s="18" t="s">
        <v>168</v>
      </c>
      <c r="BQ132" s="18" t="s">
        <v>169</v>
      </c>
      <c r="BR132" s="18" t="s">
        <v>170</v>
      </c>
      <c r="BS132" s="18"/>
      <c r="BT132" s="18"/>
      <c r="BU132" s="18" t="s">
        <v>171</v>
      </c>
      <c r="BV132" s="18" t="s">
        <v>231</v>
      </c>
      <c r="BW132" s="18" t="s">
        <v>318</v>
      </c>
      <c r="BX132" s="18" t="s">
        <v>318</v>
      </c>
      <c r="BY132" s="18"/>
      <c r="BZ132" s="18"/>
      <c r="CA132" s="18" t="s">
        <v>173</v>
      </c>
      <c r="CB132" s="18" t="s">
        <v>319</v>
      </c>
      <c r="CC132" s="18"/>
      <c r="CD132" s="18"/>
      <c r="CE132" s="18"/>
      <c r="CF132" s="18"/>
      <c r="CG132" s="18">
        <v>180</v>
      </c>
      <c r="CH132" s="18">
        <v>300</v>
      </c>
      <c r="CI132" s="19">
        <v>0.9</v>
      </c>
      <c r="CJ132" s="19">
        <v>2</v>
      </c>
      <c r="CK132" s="19">
        <v>0.6</v>
      </c>
      <c r="CL132" s="19">
        <v>1.5</v>
      </c>
      <c r="CM132" s="17" t="s">
        <v>320</v>
      </c>
      <c r="CN132" s="20">
        <v>3</v>
      </c>
      <c r="CO132" s="20">
        <v>20</v>
      </c>
      <c r="CP132" s="17" t="s">
        <v>321</v>
      </c>
      <c r="CQ132" s="17" t="s">
        <v>209</v>
      </c>
      <c r="CR132" s="21">
        <v>8</v>
      </c>
      <c r="CS132" s="21">
        <v>8</v>
      </c>
      <c r="CT132" s="21">
        <v>12</v>
      </c>
      <c r="CU132" s="21">
        <v>3</v>
      </c>
      <c r="CV132" s="21">
        <v>3</v>
      </c>
      <c r="CW132" s="21">
        <v>0</v>
      </c>
      <c r="CX132" s="21">
        <v>5</v>
      </c>
      <c r="CY132" s="21">
        <v>15</v>
      </c>
      <c r="CZ132" s="21">
        <v>8</v>
      </c>
      <c r="DA132" s="21">
        <v>180</v>
      </c>
      <c r="DB132" s="21">
        <v>180</v>
      </c>
      <c r="DC132" s="21">
        <v>350</v>
      </c>
      <c r="DD132" s="21">
        <v>25</v>
      </c>
      <c r="DE132" s="21">
        <v>25</v>
      </c>
      <c r="DF132" s="21">
        <v>0</v>
      </c>
      <c r="DG132" s="21">
        <v>50</v>
      </c>
      <c r="DH132" s="21">
        <v>400</v>
      </c>
      <c r="DI132" s="21">
        <v>120</v>
      </c>
      <c r="DJ132" s="17" t="s">
        <v>322</v>
      </c>
      <c r="DK132" s="17" t="s">
        <v>180</v>
      </c>
      <c r="DL132" s="22">
        <v>75</v>
      </c>
      <c r="DM132" s="17" t="s">
        <v>323</v>
      </c>
      <c r="DN132" s="23"/>
      <c r="DO132" s="23"/>
      <c r="DP132" s="24" t="s">
        <v>182</v>
      </c>
      <c r="DQ132" s="25" t="s">
        <v>183</v>
      </c>
      <c r="DR132" s="25" t="s">
        <v>183</v>
      </c>
      <c r="DS132" s="25" t="s">
        <v>183</v>
      </c>
      <c r="DT132" s="25" t="s">
        <v>183</v>
      </c>
      <c r="DU132" s="25" t="s">
        <v>183</v>
      </c>
      <c r="DV132" s="24" t="s">
        <v>182</v>
      </c>
      <c r="DW132" s="23"/>
      <c r="DX132" s="23"/>
      <c r="DY132" s="23"/>
      <c r="DZ132" s="17" t="s">
        <v>324</v>
      </c>
      <c r="EA132" s="17" t="s">
        <v>325</v>
      </c>
      <c r="EB132" s="26" t="s">
        <v>186</v>
      </c>
      <c r="EC132" s="17" t="s">
        <v>326</v>
      </c>
      <c r="ED132" s="27" t="s">
        <v>327</v>
      </c>
      <c r="EE132" s="22">
        <v>2</v>
      </c>
      <c r="EF132" s="49" t="s">
        <v>328</v>
      </c>
    </row>
    <row r="133" spans="1:136" ht="15" customHeight="1" x14ac:dyDescent="0.25">
      <c r="A133" s="16" t="s">
        <v>1520</v>
      </c>
      <c r="B133" s="17" t="s">
        <v>1479</v>
      </c>
      <c r="C133" s="17" t="s">
        <v>1521</v>
      </c>
      <c r="D133" s="18">
        <v>326</v>
      </c>
      <c r="E133" s="18">
        <v>12.8</v>
      </c>
      <c r="F133" s="18">
        <v>3.2</v>
      </c>
      <c r="G133" s="18">
        <v>58</v>
      </c>
      <c r="H133" s="18">
        <v>5</v>
      </c>
      <c r="I133" s="18">
        <v>14</v>
      </c>
      <c r="J133" s="18">
        <v>3</v>
      </c>
      <c r="K133" s="18">
        <v>199</v>
      </c>
      <c r="L133" s="18">
        <v>314</v>
      </c>
      <c r="M133" s="18">
        <v>577</v>
      </c>
      <c r="N133" s="18">
        <v>1</v>
      </c>
      <c r="O133" s="18">
        <v>2.9</v>
      </c>
      <c r="P133" s="18"/>
      <c r="Q133" s="18"/>
      <c r="R133" s="18">
        <v>0</v>
      </c>
      <c r="S133" s="18">
        <v>0</v>
      </c>
      <c r="T133" s="18">
        <v>0.2</v>
      </c>
      <c r="U133" s="18">
        <v>0</v>
      </c>
      <c r="V133" s="18">
        <v>0.56999999999999995</v>
      </c>
      <c r="W133" s="18">
        <v>0.03</v>
      </c>
      <c r="X133" s="18">
        <v>4.4000000000000004</v>
      </c>
      <c r="Y133" s="18">
        <v>0.2</v>
      </c>
      <c r="Z133" s="18">
        <v>0</v>
      </c>
      <c r="AA133" s="18">
        <v>54</v>
      </c>
      <c r="AB133" s="18">
        <v>2285</v>
      </c>
      <c r="AC133" s="18" t="s">
        <v>1522</v>
      </c>
      <c r="AD133" s="18" t="s">
        <v>1523</v>
      </c>
      <c r="AE133" s="18" t="s">
        <v>1524</v>
      </c>
      <c r="AF133" s="18" t="s">
        <v>1525</v>
      </c>
      <c r="AG133" s="18" t="s">
        <v>1526</v>
      </c>
      <c r="AH133" s="18" t="s">
        <v>1527</v>
      </c>
      <c r="AI133" s="18" t="s">
        <v>226</v>
      </c>
      <c r="AJ133" s="18" t="s">
        <v>156</v>
      </c>
      <c r="AK133" s="18" t="s">
        <v>157</v>
      </c>
      <c r="AL133" s="18" t="s">
        <v>282</v>
      </c>
      <c r="AM133" s="18" t="s">
        <v>283</v>
      </c>
      <c r="AN133" s="18"/>
      <c r="AO133" s="18" t="s">
        <v>1528</v>
      </c>
      <c r="AP133" s="18" t="s">
        <v>1488</v>
      </c>
      <c r="AQ133" s="18" t="s">
        <v>162</v>
      </c>
      <c r="AR133" s="18">
        <v>17</v>
      </c>
      <c r="AS133" s="18">
        <v>27</v>
      </c>
      <c r="AT133" s="18">
        <v>7</v>
      </c>
      <c r="AU133" s="18">
        <v>40</v>
      </c>
      <c r="AV133" s="18">
        <v>700</v>
      </c>
      <c r="AW133" s="18">
        <v>1000</v>
      </c>
      <c r="AX133" s="18">
        <v>400</v>
      </c>
      <c r="AY133" s="18">
        <v>1300</v>
      </c>
      <c r="AZ133" s="18">
        <v>5</v>
      </c>
      <c r="BA133" s="18">
        <v>6.5</v>
      </c>
      <c r="BB133" s="18">
        <v>4.4000000000000004</v>
      </c>
      <c r="BC133" s="18">
        <v>7.5</v>
      </c>
      <c r="BD133" s="18"/>
      <c r="BE133" s="18"/>
      <c r="BF133" s="18">
        <v>60</v>
      </c>
      <c r="BG133" s="18">
        <v>60</v>
      </c>
      <c r="BH133" s="18">
        <v>2000</v>
      </c>
      <c r="BI133" s="18" t="s">
        <v>163</v>
      </c>
      <c r="BJ133" s="18" t="s">
        <v>164</v>
      </c>
      <c r="BK133" s="18" t="s">
        <v>163</v>
      </c>
      <c r="BL133" s="18" t="s">
        <v>165</v>
      </c>
      <c r="BM133" s="18" t="s">
        <v>166</v>
      </c>
      <c r="BN133" s="18" t="s">
        <v>201</v>
      </c>
      <c r="BO133" s="18" t="s">
        <v>250</v>
      </c>
      <c r="BP133" s="18" t="s">
        <v>250</v>
      </c>
      <c r="BQ133" s="18" t="s">
        <v>170</v>
      </c>
      <c r="BR133" s="18" t="s">
        <v>230</v>
      </c>
      <c r="BS133" s="18"/>
      <c r="BT133" s="18"/>
      <c r="BU133" s="18" t="s">
        <v>171</v>
      </c>
      <c r="BV133" s="18" t="s">
        <v>171</v>
      </c>
      <c r="BW133" s="18" t="s">
        <v>172</v>
      </c>
      <c r="BX133" s="18" t="s">
        <v>172</v>
      </c>
      <c r="BY133" s="18"/>
      <c r="BZ133" s="18"/>
      <c r="CA133" s="18" t="s">
        <v>173</v>
      </c>
      <c r="CB133" s="18" t="s">
        <v>1358</v>
      </c>
      <c r="CC133" s="18"/>
      <c r="CD133" s="18"/>
      <c r="CE133" s="18"/>
      <c r="CF133" s="18" t="s">
        <v>1529</v>
      </c>
      <c r="CG133" s="18">
        <v>55</v>
      </c>
      <c r="CH133" s="18">
        <v>85</v>
      </c>
      <c r="CI133" s="32">
        <v>0.5</v>
      </c>
      <c r="CJ133" s="32">
        <v>1.2</v>
      </c>
      <c r="CK133" s="32">
        <v>0.2</v>
      </c>
      <c r="CL133" s="32">
        <v>0.4</v>
      </c>
      <c r="CM133" s="33" t="s">
        <v>1530</v>
      </c>
      <c r="CN133" s="34">
        <v>0.5</v>
      </c>
      <c r="CO133" s="34">
        <v>2.5</v>
      </c>
      <c r="CP133" s="35" t="s">
        <v>1531</v>
      </c>
      <c r="CQ133" s="35" t="s">
        <v>209</v>
      </c>
      <c r="CR133" s="36">
        <v>3</v>
      </c>
      <c r="CS133" s="36">
        <v>1</v>
      </c>
      <c r="CT133" s="36">
        <v>1</v>
      </c>
      <c r="CU133" s="36">
        <v>1</v>
      </c>
      <c r="CV133" s="36">
        <v>1</v>
      </c>
      <c r="CW133" s="36">
        <v>0</v>
      </c>
      <c r="CX133" s="36">
        <v>0</v>
      </c>
      <c r="CY133" s="36">
        <v>3</v>
      </c>
      <c r="CZ133" s="36">
        <v>2</v>
      </c>
      <c r="DA133" s="37">
        <v>110</v>
      </c>
      <c r="DB133" s="37">
        <v>40</v>
      </c>
      <c r="DC133" s="37">
        <v>60</v>
      </c>
      <c r="DD133" s="37">
        <v>10</v>
      </c>
      <c r="DE133" s="37">
        <v>10</v>
      </c>
      <c r="DF133" s="37">
        <v>0</v>
      </c>
      <c r="DG133" s="37">
        <v>0</v>
      </c>
      <c r="DH133" s="37">
        <v>180</v>
      </c>
      <c r="DI133" s="37">
        <v>40</v>
      </c>
      <c r="DJ133" s="38" t="s">
        <v>1532</v>
      </c>
      <c r="DK133" s="39" t="s">
        <v>1495</v>
      </c>
      <c r="DL133" s="40">
        <v>100</v>
      </c>
      <c r="DM133" s="39" t="s">
        <v>1533</v>
      </c>
      <c r="DN133" s="41"/>
      <c r="DO133" s="24" t="s">
        <v>182</v>
      </c>
      <c r="DP133" s="25" t="s">
        <v>183</v>
      </c>
      <c r="DQ133" s="25" t="s">
        <v>183</v>
      </c>
      <c r="DR133" s="24" t="s">
        <v>182</v>
      </c>
      <c r="DS133" s="41"/>
      <c r="DT133" s="41"/>
      <c r="DU133" s="41"/>
      <c r="DV133" s="41"/>
      <c r="DW133" s="41"/>
      <c r="DX133" s="41"/>
      <c r="DY133" s="41"/>
      <c r="DZ133" s="42" t="s">
        <v>1534</v>
      </c>
      <c r="EA133" s="42" t="s">
        <v>1535</v>
      </c>
      <c r="EB133" s="48" t="s">
        <v>239</v>
      </c>
      <c r="EC133" s="44" t="s">
        <v>1499</v>
      </c>
      <c r="ED133" s="45" t="s">
        <v>1500</v>
      </c>
      <c r="EE133" s="46">
        <v>1</v>
      </c>
      <c r="EF133" s="57" t="s">
        <v>1501</v>
      </c>
    </row>
    <row r="134" spans="1:136" ht="15" customHeight="1" x14ac:dyDescent="0.25">
      <c r="A134" s="16" t="s">
        <v>261</v>
      </c>
      <c r="B134" s="17" t="s">
        <v>262</v>
      </c>
      <c r="C134" s="17" t="s">
        <v>263</v>
      </c>
      <c r="D134" s="18">
        <v>30.6</v>
      </c>
      <c r="E134" s="18">
        <v>1.6</v>
      </c>
      <c r="F134" s="18">
        <v>0.2</v>
      </c>
      <c r="G134" s="18">
        <v>4.0999999999999996</v>
      </c>
      <c r="H134" s="18">
        <v>3.1</v>
      </c>
      <c r="I134" s="18">
        <v>32</v>
      </c>
      <c r="J134" s="18">
        <v>0.57999999999999996</v>
      </c>
      <c r="K134" s="18">
        <v>13</v>
      </c>
      <c r="L134" s="18">
        <v>34</v>
      </c>
      <c r="M134" s="18">
        <v>265</v>
      </c>
      <c r="N134" s="18">
        <v>12</v>
      </c>
      <c r="O134" s="18">
        <v>0.3</v>
      </c>
      <c r="P134" s="18">
        <v>4.2000000000000003E-2</v>
      </c>
      <c r="Q134" s="18">
        <v>0.23</v>
      </c>
      <c r="R134" s="18">
        <v>0</v>
      </c>
      <c r="S134" s="18">
        <v>6</v>
      </c>
      <c r="T134" s="18">
        <v>0.36</v>
      </c>
      <c r="U134" s="18">
        <v>14</v>
      </c>
      <c r="V134" s="18">
        <v>0.05</v>
      </c>
      <c r="W134" s="18">
        <v>0.06</v>
      </c>
      <c r="X134" s="18">
        <v>0</v>
      </c>
      <c r="Y134" s="18">
        <v>0.18</v>
      </c>
      <c r="Z134" s="18">
        <v>0</v>
      </c>
      <c r="AA134" s="18">
        <v>10</v>
      </c>
      <c r="AB134" s="18">
        <v>363</v>
      </c>
      <c r="AC134" s="18" t="s">
        <v>264</v>
      </c>
      <c r="AD134" s="18" t="s">
        <v>221</v>
      </c>
      <c r="AE134" s="18" t="s">
        <v>222</v>
      </c>
      <c r="AF134" s="18"/>
      <c r="AG134" s="18" t="s">
        <v>265</v>
      </c>
      <c r="AH134" s="18" t="s">
        <v>266</v>
      </c>
      <c r="AI134" s="18" t="s">
        <v>155</v>
      </c>
      <c r="AJ134" s="18" t="s">
        <v>156</v>
      </c>
      <c r="AK134" s="18" t="s">
        <v>157</v>
      </c>
      <c r="AL134" s="18" t="s">
        <v>158</v>
      </c>
      <c r="AM134" s="18" t="s">
        <v>159</v>
      </c>
      <c r="AN134" s="18" t="s">
        <v>160</v>
      </c>
      <c r="AO134" s="18" t="s">
        <v>161</v>
      </c>
      <c r="AP134" s="18" t="s">
        <v>161</v>
      </c>
      <c r="AQ134" s="18" t="s">
        <v>162</v>
      </c>
      <c r="AR134" s="18">
        <v>18</v>
      </c>
      <c r="AS134" s="18">
        <v>24</v>
      </c>
      <c r="AT134" s="18">
        <v>6</v>
      </c>
      <c r="AU134" s="18">
        <v>27</v>
      </c>
      <c r="AV134" s="18">
        <v>750</v>
      </c>
      <c r="AW134" s="18">
        <v>1000</v>
      </c>
      <c r="AX134" s="18">
        <v>350</v>
      </c>
      <c r="AY134" s="18">
        <v>2800</v>
      </c>
      <c r="AZ134" s="18">
        <v>6</v>
      </c>
      <c r="BA134" s="18">
        <v>6.5</v>
      </c>
      <c r="BB134" s="18">
        <v>4.5</v>
      </c>
      <c r="BC134" s="18">
        <v>7.5</v>
      </c>
      <c r="BD134" s="18"/>
      <c r="BE134" s="18"/>
      <c r="BF134" s="18">
        <v>60</v>
      </c>
      <c r="BG134" s="18">
        <v>60</v>
      </c>
      <c r="BH134" s="18">
        <v>1000</v>
      </c>
      <c r="BI134" s="18" t="s">
        <v>164</v>
      </c>
      <c r="BJ134" s="18" t="s">
        <v>164</v>
      </c>
      <c r="BK134" s="18" t="s">
        <v>163</v>
      </c>
      <c r="BL134" s="18" t="s">
        <v>165</v>
      </c>
      <c r="BM134" s="18" t="s">
        <v>166</v>
      </c>
      <c r="BN134" s="18" t="s">
        <v>201</v>
      </c>
      <c r="BO134" s="18" t="s">
        <v>167</v>
      </c>
      <c r="BP134" s="18" t="s">
        <v>203</v>
      </c>
      <c r="BQ134" s="18" t="s">
        <v>169</v>
      </c>
      <c r="BR134" s="18" t="s">
        <v>230</v>
      </c>
      <c r="BS134" s="18"/>
      <c r="BT134" s="18"/>
      <c r="BU134" s="18" t="s">
        <v>171</v>
      </c>
      <c r="BV134" s="18" t="s">
        <v>171</v>
      </c>
      <c r="BW134" s="18" t="s">
        <v>172</v>
      </c>
      <c r="BX134" s="18" t="s">
        <v>172</v>
      </c>
      <c r="BY134" s="18">
        <v>-5</v>
      </c>
      <c r="BZ134" s="18">
        <v>-5</v>
      </c>
      <c r="CA134" s="18" t="s">
        <v>204</v>
      </c>
      <c r="CB134" s="18" t="s">
        <v>232</v>
      </c>
      <c r="CC134" s="18"/>
      <c r="CD134" s="18"/>
      <c r="CE134" s="18"/>
      <c r="CF134" s="18"/>
      <c r="CG134" s="18">
        <v>120</v>
      </c>
      <c r="CH134" s="18">
        <v>150</v>
      </c>
      <c r="CI134" s="19">
        <v>0.5</v>
      </c>
      <c r="CJ134" s="19">
        <v>1</v>
      </c>
      <c r="CK134" s="19">
        <v>0.1</v>
      </c>
      <c r="CL134" s="19">
        <v>0.3</v>
      </c>
      <c r="CM134" s="17" t="s">
        <v>267</v>
      </c>
      <c r="CN134" s="20">
        <v>10</v>
      </c>
      <c r="CO134" s="20">
        <v>40</v>
      </c>
      <c r="CP134" s="17" t="s">
        <v>268</v>
      </c>
      <c r="CQ134" s="17" t="s">
        <v>178</v>
      </c>
      <c r="CR134" s="21">
        <v>5</v>
      </c>
      <c r="CS134" s="21">
        <v>8</v>
      </c>
      <c r="CT134" s="21">
        <v>8</v>
      </c>
      <c r="CU134" s="21">
        <v>3</v>
      </c>
      <c r="CV134" s="21">
        <v>4</v>
      </c>
      <c r="CW134" s="21">
        <v>0</v>
      </c>
      <c r="CX134" s="21">
        <v>4</v>
      </c>
      <c r="CY134" s="21">
        <v>12</v>
      </c>
      <c r="CZ134" s="21">
        <v>8</v>
      </c>
      <c r="DA134" s="21">
        <v>140</v>
      </c>
      <c r="DB134" s="21">
        <v>200</v>
      </c>
      <c r="DC134" s="21">
        <v>250</v>
      </c>
      <c r="DD134" s="21">
        <v>25</v>
      </c>
      <c r="DE134" s="21">
        <v>30</v>
      </c>
      <c r="DF134" s="21">
        <v>0</v>
      </c>
      <c r="DG134" s="21">
        <v>40</v>
      </c>
      <c r="DH134" s="21">
        <v>350</v>
      </c>
      <c r="DI134" s="21">
        <v>150</v>
      </c>
      <c r="DJ134" s="17" t="s">
        <v>269</v>
      </c>
      <c r="DK134" s="17" t="s">
        <v>180</v>
      </c>
      <c r="DL134" s="22">
        <v>75</v>
      </c>
      <c r="DM134" s="17" t="s">
        <v>270</v>
      </c>
      <c r="DN134" s="23"/>
      <c r="DO134" s="23"/>
      <c r="DP134" s="23"/>
      <c r="DQ134" s="24" t="s">
        <v>182</v>
      </c>
      <c r="DR134" s="25" t="s">
        <v>183</v>
      </c>
      <c r="DS134" s="25" t="s">
        <v>183</v>
      </c>
      <c r="DT134" s="25" t="s">
        <v>183</v>
      </c>
      <c r="DU134" s="25" t="s">
        <v>183</v>
      </c>
      <c r="DV134" s="25" t="s">
        <v>183</v>
      </c>
      <c r="DW134" s="24" t="s">
        <v>182</v>
      </c>
      <c r="DX134" s="23"/>
      <c r="DY134" s="23"/>
      <c r="DZ134" s="17" t="s">
        <v>271</v>
      </c>
      <c r="EA134" s="17" t="s">
        <v>272</v>
      </c>
      <c r="EB134" s="26" t="s">
        <v>186</v>
      </c>
      <c r="EC134" s="17" t="s">
        <v>273</v>
      </c>
      <c r="ED134" s="27" t="s">
        <v>274</v>
      </c>
      <c r="EE134" s="22">
        <v>2</v>
      </c>
      <c r="EF134" s="28" t="s">
        <v>275</v>
      </c>
    </row>
    <row r="135" spans="1:136" ht="15" customHeight="1" x14ac:dyDescent="0.25">
      <c r="A135" s="16" t="s">
        <v>2622</v>
      </c>
      <c r="B135" s="17" t="s">
        <v>2580</v>
      </c>
      <c r="C135" s="17" t="s">
        <v>2623</v>
      </c>
      <c r="D135" s="18">
        <v>111.4</v>
      </c>
      <c r="E135" s="18">
        <v>1.4</v>
      </c>
      <c r="F135" s="18">
        <v>0.2</v>
      </c>
      <c r="G135" s="18">
        <v>24.2</v>
      </c>
      <c r="H135" s="18">
        <v>3.2</v>
      </c>
      <c r="I135" s="18">
        <v>19</v>
      </c>
      <c r="J135" s="18">
        <v>0.4</v>
      </c>
      <c r="K135" s="18">
        <v>26</v>
      </c>
      <c r="L135" s="18">
        <v>37</v>
      </c>
      <c r="M135" s="18">
        <v>370</v>
      </c>
      <c r="N135" s="18">
        <v>31</v>
      </c>
      <c r="O135" s="18">
        <v>0.2</v>
      </c>
      <c r="P135" s="18">
        <v>0.14000000000000001</v>
      </c>
      <c r="Q135" s="18">
        <v>0.56999999999999995</v>
      </c>
      <c r="R135" s="18">
        <v>0</v>
      </c>
      <c r="S135" s="18">
        <v>12</v>
      </c>
      <c r="T135" s="18">
        <v>0</v>
      </c>
      <c r="U135" s="18">
        <v>19</v>
      </c>
      <c r="V135" s="18">
        <v>0.04</v>
      </c>
      <c r="W135" s="18">
        <v>0.04</v>
      </c>
      <c r="X135" s="18">
        <v>0.5</v>
      </c>
      <c r="Y135" s="18">
        <v>0.17</v>
      </c>
      <c r="Z135" s="18">
        <v>0</v>
      </c>
      <c r="AA135" s="18">
        <v>40</v>
      </c>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9">
        <v>0.3</v>
      </c>
      <c r="CJ135" s="19">
        <v>0.5</v>
      </c>
      <c r="CK135" s="19">
        <v>1.5</v>
      </c>
      <c r="CL135" s="19">
        <v>4</v>
      </c>
      <c r="CM135" s="17" t="s">
        <v>2612</v>
      </c>
      <c r="CN135" s="20">
        <v>5</v>
      </c>
      <c r="CO135" s="20">
        <v>35</v>
      </c>
      <c r="CP135" s="17" t="s">
        <v>2624</v>
      </c>
      <c r="CQ135" s="17" t="s">
        <v>209</v>
      </c>
      <c r="CR135" s="21">
        <v>6</v>
      </c>
      <c r="CS135" s="21">
        <v>8</v>
      </c>
      <c r="CT135" s="21">
        <v>8</v>
      </c>
      <c r="CU135" s="21">
        <v>2</v>
      </c>
      <c r="CV135" s="21">
        <v>3</v>
      </c>
      <c r="CW135" s="21">
        <v>0</v>
      </c>
      <c r="CX135" s="21">
        <v>3</v>
      </c>
      <c r="CY135" s="21">
        <v>10</v>
      </c>
      <c r="CZ135" s="21">
        <v>5</v>
      </c>
      <c r="DA135" s="21">
        <v>160</v>
      </c>
      <c r="DB135" s="21">
        <v>200</v>
      </c>
      <c r="DC135" s="21">
        <v>250</v>
      </c>
      <c r="DD135" s="21">
        <v>25</v>
      </c>
      <c r="DE135" s="21">
        <v>25</v>
      </c>
      <c r="DF135" s="21">
        <v>0</v>
      </c>
      <c r="DG135" s="21">
        <v>30</v>
      </c>
      <c r="DH135" s="21">
        <v>350</v>
      </c>
      <c r="DI135" s="21">
        <v>100</v>
      </c>
      <c r="DJ135" s="17" t="s">
        <v>2620</v>
      </c>
      <c r="DK135" s="17" t="s">
        <v>180</v>
      </c>
      <c r="DL135" s="22">
        <v>75</v>
      </c>
      <c r="DM135" s="17" t="s">
        <v>2615</v>
      </c>
      <c r="DN135" s="23"/>
      <c r="DO135" s="24" t="s">
        <v>182</v>
      </c>
      <c r="DP135" s="25" t="s">
        <v>183</v>
      </c>
      <c r="DQ135" s="25" t="s">
        <v>183</v>
      </c>
      <c r="DR135" s="25" t="s">
        <v>183</v>
      </c>
      <c r="DS135" s="24" t="s">
        <v>182</v>
      </c>
      <c r="DT135" s="23"/>
      <c r="DU135" s="23"/>
      <c r="DV135" s="23"/>
      <c r="DW135" s="23"/>
      <c r="DX135" s="23"/>
      <c r="DY135" s="23"/>
      <c r="DZ135" s="17" t="s">
        <v>2625</v>
      </c>
      <c r="EA135" s="17" t="s">
        <v>1593</v>
      </c>
      <c r="EB135" s="48" t="s">
        <v>239</v>
      </c>
      <c r="EC135" s="17" t="s">
        <v>1919</v>
      </c>
      <c r="ED135" s="27" t="s">
        <v>1273</v>
      </c>
      <c r="EE135" s="22">
        <v>2</v>
      </c>
      <c r="EF135" s="49" t="s">
        <v>242</v>
      </c>
    </row>
    <row r="136" spans="1:136" ht="15" customHeight="1" x14ac:dyDescent="0.25">
      <c r="A136" s="16" t="s">
        <v>2617</v>
      </c>
      <c r="B136" s="29" t="s">
        <v>2580</v>
      </c>
      <c r="C136" s="29" t="s">
        <v>2618</v>
      </c>
      <c r="D136" s="30">
        <v>115.9</v>
      </c>
      <c r="E136" s="30">
        <v>1.4</v>
      </c>
      <c r="F136" s="30">
        <v>0.2</v>
      </c>
      <c r="G136" s="30">
        <v>25.5</v>
      </c>
      <c r="H136" s="30">
        <v>2.7</v>
      </c>
      <c r="I136" s="30">
        <v>27</v>
      </c>
      <c r="J136" s="30">
        <v>0.42</v>
      </c>
      <c r="K136" s="30">
        <v>26</v>
      </c>
      <c r="L136" s="30">
        <v>42</v>
      </c>
      <c r="M136" s="30">
        <v>310</v>
      </c>
      <c r="N136" s="30">
        <v>6</v>
      </c>
      <c r="O136" s="30">
        <v>0.18</v>
      </c>
      <c r="P136" s="30">
        <v>0.12</v>
      </c>
      <c r="Q136" s="30">
        <v>0.5</v>
      </c>
      <c r="R136" s="30">
        <v>0</v>
      </c>
      <c r="S136" s="30">
        <v>0</v>
      </c>
      <c r="T136" s="30">
        <v>0</v>
      </c>
      <c r="U136" s="30">
        <v>14</v>
      </c>
      <c r="V136" s="30">
        <v>0.04</v>
      </c>
      <c r="W136" s="30">
        <v>0.04</v>
      </c>
      <c r="X136" s="30">
        <v>0.5</v>
      </c>
      <c r="Y136" s="30">
        <v>0.17</v>
      </c>
      <c r="Z136" s="30">
        <v>0</v>
      </c>
      <c r="AA136" s="30">
        <v>23</v>
      </c>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2">
        <v>0.3</v>
      </c>
      <c r="CJ136" s="32">
        <v>0.5</v>
      </c>
      <c r="CK136" s="32">
        <v>1.5</v>
      </c>
      <c r="CL136" s="32">
        <v>4</v>
      </c>
      <c r="CM136" s="33" t="s">
        <v>2612</v>
      </c>
      <c r="CN136" s="34">
        <v>5</v>
      </c>
      <c r="CO136" s="34">
        <v>35</v>
      </c>
      <c r="CP136" s="35" t="s">
        <v>2619</v>
      </c>
      <c r="CQ136" s="35" t="s">
        <v>209</v>
      </c>
      <c r="CR136" s="36">
        <v>6</v>
      </c>
      <c r="CS136" s="36">
        <v>8</v>
      </c>
      <c r="CT136" s="36">
        <v>8</v>
      </c>
      <c r="CU136" s="36">
        <v>2</v>
      </c>
      <c r="CV136" s="36">
        <v>3</v>
      </c>
      <c r="CW136" s="36">
        <v>0</v>
      </c>
      <c r="CX136" s="36">
        <v>3</v>
      </c>
      <c r="CY136" s="36">
        <v>10</v>
      </c>
      <c r="CZ136" s="36">
        <v>5</v>
      </c>
      <c r="DA136" s="37">
        <v>160</v>
      </c>
      <c r="DB136" s="37">
        <v>200</v>
      </c>
      <c r="DC136" s="37">
        <v>250</v>
      </c>
      <c r="DD136" s="37">
        <v>25</v>
      </c>
      <c r="DE136" s="37">
        <v>25</v>
      </c>
      <c r="DF136" s="37">
        <v>0</v>
      </c>
      <c r="DG136" s="37">
        <v>30</v>
      </c>
      <c r="DH136" s="37">
        <v>350</v>
      </c>
      <c r="DI136" s="37">
        <v>100</v>
      </c>
      <c r="DJ136" s="38" t="s">
        <v>2620</v>
      </c>
      <c r="DK136" s="39" t="s">
        <v>180</v>
      </c>
      <c r="DL136" s="40">
        <v>75</v>
      </c>
      <c r="DM136" s="39" t="s">
        <v>2615</v>
      </c>
      <c r="DN136" s="41"/>
      <c r="DO136" s="24" t="s">
        <v>182</v>
      </c>
      <c r="DP136" s="25" t="s">
        <v>183</v>
      </c>
      <c r="DQ136" s="25" t="s">
        <v>183</v>
      </c>
      <c r="DR136" s="25" t="s">
        <v>183</v>
      </c>
      <c r="DS136" s="24" t="s">
        <v>182</v>
      </c>
      <c r="DT136" s="41"/>
      <c r="DU136" s="41"/>
      <c r="DV136" s="41"/>
      <c r="DW136" s="41"/>
      <c r="DX136" s="41"/>
      <c r="DY136" s="41"/>
      <c r="DZ136" s="42" t="s">
        <v>2621</v>
      </c>
      <c r="EA136" s="42" t="s">
        <v>1593</v>
      </c>
      <c r="EB136" s="48" t="s">
        <v>239</v>
      </c>
      <c r="EC136" s="44" t="s">
        <v>1919</v>
      </c>
      <c r="ED136" s="45" t="s">
        <v>1273</v>
      </c>
      <c r="EE136" s="46">
        <v>2</v>
      </c>
      <c r="EF136" s="50" t="s">
        <v>242</v>
      </c>
    </row>
    <row r="137" spans="1:136" ht="15" customHeight="1" x14ac:dyDescent="0.25">
      <c r="A137" s="16" t="s">
        <v>2610</v>
      </c>
      <c r="B137" s="29" t="s">
        <v>2580</v>
      </c>
      <c r="C137" s="29" t="s">
        <v>2611</v>
      </c>
      <c r="D137" s="30">
        <v>65.2</v>
      </c>
      <c r="E137" s="30">
        <v>1.4</v>
      </c>
      <c r="F137" s="30">
        <v>0.2</v>
      </c>
      <c r="G137" s="30">
        <v>13.2</v>
      </c>
      <c r="H137" s="30">
        <v>2.6</v>
      </c>
      <c r="I137" s="30">
        <v>27</v>
      </c>
      <c r="J137" s="30">
        <v>0.42</v>
      </c>
      <c r="K137" s="30">
        <v>16</v>
      </c>
      <c r="L137" s="30">
        <v>24</v>
      </c>
      <c r="M137" s="30">
        <v>245</v>
      </c>
      <c r="N137" s="30">
        <v>6</v>
      </c>
      <c r="O137" s="30">
        <v>0.5</v>
      </c>
      <c r="P137" s="30">
        <v>8.8999999999999996E-2</v>
      </c>
      <c r="Q137" s="30">
        <v>0.44</v>
      </c>
      <c r="R137" s="30">
        <v>0</v>
      </c>
      <c r="S137" s="30">
        <v>633</v>
      </c>
      <c r="T137" s="30">
        <v>0</v>
      </c>
      <c r="U137" s="30">
        <v>14</v>
      </c>
      <c r="V137" s="30">
        <v>0.04</v>
      </c>
      <c r="W137" s="30">
        <v>0.04</v>
      </c>
      <c r="X137" s="30">
        <v>0.5</v>
      </c>
      <c r="Y137" s="30">
        <v>0.17</v>
      </c>
      <c r="Z137" s="30">
        <v>0</v>
      </c>
      <c r="AA137" s="30">
        <v>38</v>
      </c>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19">
        <v>0.3</v>
      </c>
      <c r="CJ137" s="19">
        <v>0.5</v>
      </c>
      <c r="CK137" s="19">
        <v>1.5</v>
      </c>
      <c r="CL137" s="19">
        <v>4</v>
      </c>
      <c r="CM137" s="17" t="s">
        <v>2612</v>
      </c>
      <c r="CN137" s="20">
        <v>5</v>
      </c>
      <c r="CO137" s="20">
        <v>40</v>
      </c>
      <c r="CP137" s="17" t="s">
        <v>2613</v>
      </c>
      <c r="CQ137" s="17" t="s">
        <v>209</v>
      </c>
      <c r="CR137" s="21">
        <v>6</v>
      </c>
      <c r="CS137" s="21">
        <v>8</v>
      </c>
      <c r="CT137" s="21">
        <v>8</v>
      </c>
      <c r="CU137" s="21">
        <v>2</v>
      </c>
      <c r="CV137" s="21">
        <v>3</v>
      </c>
      <c r="CW137" s="21">
        <v>0</v>
      </c>
      <c r="CX137" s="21">
        <v>3</v>
      </c>
      <c r="CY137" s="21">
        <v>10</v>
      </c>
      <c r="CZ137" s="21">
        <v>5</v>
      </c>
      <c r="DA137" s="21">
        <v>160</v>
      </c>
      <c r="DB137" s="21">
        <v>200</v>
      </c>
      <c r="DC137" s="21">
        <v>250</v>
      </c>
      <c r="DD137" s="21">
        <v>25</v>
      </c>
      <c r="DE137" s="21">
        <v>25</v>
      </c>
      <c r="DF137" s="21">
        <v>0</v>
      </c>
      <c r="DG137" s="21">
        <v>30</v>
      </c>
      <c r="DH137" s="21">
        <v>350</v>
      </c>
      <c r="DI137" s="21">
        <v>100</v>
      </c>
      <c r="DJ137" s="17" t="s">
        <v>2614</v>
      </c>
      <c r="DK137" s="17" t="s">
        <v>180</v>
      </c>
      <c r="DL137" s="22">
        <v>75</v>
      </c>
      <c r="DM137" s="17" t="s">
        <v>2615</v>
      </c>
      <c r="DN137" s="23"/>
      <c r="DO137" s="24" t="s">
        <v>182</v>
      </c>
      <c r="DP137" s="25" t="s">
        <v>183</v>
      </c>
      <c r="DQ137" s="25" t="s">
        <v>183</v>
      </c>
      <c r="DR137" s="25" t="s">
        <v>183</v>
      </c>
      <c r="DS137" s="24" t="s">
        <v>182</v>
      </c>
      <c r="DT137" s="23"/>
      <c r="DU137" s="23"/>
      <c r="DV137" s="23"/>
      <c r="DW137" s="23"/>
      <c r="DX137" s="23"/>
      <c r="DY137" s="23"/>
      <c r="DZ137" s="17" t="s">
        <v>2616</v>
      </c>
      <c r="EA137" s="17" t="s">
        <v>1593</v>
      </c>
      <c r="EB137" s="48" t="s">
        <v>239</v>
      </c>
      <c r="EC137" s="17" t="s">
        <v>1919</v>
      </c>
      <c r="ED137" s="27" t="s">
        <v>1273</v>
      </c>
      <c r="EE137" s="22">
        <v>2</v>
      </c>
      <c r="EF137" s="49" t="s">
        <v>242</v>
      </c>
    </row>
    <row r="138" spans="1:136" ht="15" customHeight="1" x14ac:dyDescent="0.25">
      <c r="A138" s="16" t="s">
        <v>380</v>
      </c>
      <c r="B138" s="29" t="s">
        <v>355</v>
      </c>
      <c r="C138" s="29" t="s">
        <v>381</v>
      </c>
      <c r="D138" s="30">
        <v>24.4</v>
      </c>
      <c r="E138" s="30">
        <v>1.9</v>
      </c>
      <c r="F138" s="30">
        <v>0.2</v>
      </c>
      <c r="G138" s="30">
        <v>3.3</v>
      </c>
      <c r="H138" s="30">
        <v>1.2</v>
      </c>
      <c r="I138" s="30">
        <v>18</v>
      </c>
      <c r="J138" s="30">
        <v>0.32</v>
      </c>
      <c r="K138" s="30">
        <v>16</v>
      </c>
      <c r="L138" s="30">
        <v>46</v>
      </c>
      <c r="M138" s="30">
        <v>242</v>
      </c>
      <c r="N138" s="30">
        <v>40</v>
      </c>
      <c r="O138" s="30">
        <v>0.2</v>
      </c>
      <c r="P138" s="30">
        <v>2.5000000000000001E-2</v>
      </c>
      <c r="Q138" s="30">
        <v>0.125</v>
      </c>
      <c r="R138" s="30">
        <v>0</v>
      </c>
      <c r="S138" s="30">
        <v>0</v>
      </c>
      <c r="T138" s="30">
        <v>0</v>
      </c>
      <c r="U138" s="30">
        <v>42</v>
      </c>
      <c r="V138" s="30">
        <v>0.04</v>
      </c>
      <c r="W138" s="30">
        <v>0.05</v>
      </c>
      <c r="X138" s="30">
        <v>0</v>
      </c>
      <c r="Y138" s="30">
        <v>0.17</v>
      </c>
      <c r="Z138" s="30">
        <v>0</v>
      </c>
      <c r="AA138" s="30">
        <v>82</v>
      </c>
      <c r="AB138" s="31">
        <v>553</v>
      </c>
      <c r="AC138" s="31" t="s">
        <v>382</v>
      </c>
      <c r="AD138" s="31" t="s">
        <v>383</v>
      </c>
      <c r="AE138" s="31" t="s">
        <v>152</v>
      </c>
      <c r="AF138" s="31" t="s">
        <v>384</v>
      </c>
      <c r="AG138" s="31" t="s">
        <v>385</v>
      </c>
      <c r="AH138" s="31" t="s">
        <v>386</v>
      </c>
      <c r="AI138" s="31" t="s">
        <v>155</v>
      </c>
      <c r="AJ138" s="31" t="s">
        <v>156</v>
      </c>
      <c r="AK138" s="31" t="s">
        <v>157</v>
      </c>
      <c r="AL138" s="31" t="s">
        <v>227</v>
      </c>
      <c r="AM138" s="31"/>
      <c r="AN138" s="31" t="s">
        <v>160</v>
      </c>
      <c r="AO138" s="31" t="s">
        <v>161</v>
      </c>
      <c r="AP138" s="31" t="s">
        <v>161</v>
      </c>
      <c r="AQ138" s="31" t="s">
        <v>362</v>
      </c>
      <c r="AR138" s="31">
        <v>10</v>
      </c>
      <c r="AS138" s="31">
        <v>25</v>
      </c>
      <c r="AT138" s="31">
        <v>5</v>
      </c>
      <c r="AU138" s="31">
        <v>30</v>
      </c>
      <c r="AV138" s="31">
        <v>600</v>
      </c>
      <c r="AW138" s="31">
        <v>1100</v>
      </c>
      <c r="AX138" s="31">
        <v>450</v>
      </c>
      <c r="AY138" s="31">
        <v>1900</v>
      </c>
      <c r="AZ138" s="31">
        <v>6</v>
      </c>
      <c r="BA138" s="31">
        <v>7</v>
      </c>
      <c r="BB138" s="31">
        <v>5.5</v>
      </c>
      <c r="BC138" s="31">
        <v>8.5</v>
      </c>
      <c r="BD138" s="31">
        <v>30</v>
      </c>
      <c r="BE138" s="31"/>
      <c r="BF138" s="31">
        <v>55</v>
      </c>
      <c r="BG138" s="31">
        <v>60</v>
      </c>
      <c r="BH138" s="31">
        <v>2000</v>
      </c>
      <c r="BI138" s="31" t="s">
        <v>165</v>
      </c>
      <c r="BJ138" s="31" t="s">
        <v>165</v>
      </c>
      <c r="BK138" s="31" t="s">
        <v>163</v>
      </c>
      <c r="BL138" s="31" t="s">
        <v>317</v>
      </c>
      <c r="BM138" s="31" t="s">
        <v>288</v>
      </c>
      <c r="BN138" s="31" t="s">
        <v>201</v>
      </c>
      <c r="BO138" s="31" t="s">
        <v>202</v>
      </c>
      <c r="BP138" s="31" t="s">
        <v>203</v>
      </c>
      <c r="BQ138" s="31" t="s">
        <v>169</v>
      </c>
      <c r="BR138" s="31" t="s">
        <v>170</v>
      </c>
      <c r="BS138" s="31"/>
      <c r="BT138" s="31"/>
      <c r="BU138" s="31" t="s">
        <v>171</v>
      </c>
      <c r="BV138" s="31" t="s">
        <v>171</v>
      </c>
      <c r="BW138" s="31" t="s">
        <v>172</v>
      </c>
      <c r="BX138" s="31" t="s">
        <v>172</v>
      </c>
      <c r="BY138" s="31">
        <v>-5</v>
      </c>
      <c r="BZ138" s="31">
        <v>-5</v>
      </c>
      <c r="CA138" s="31" t="s">
        <v>173</v>
      </c>
      <c r="CB138" s="31" t="s">
        <v>387</v>
      </c>
      <c r="CC138" s="31"/>
      <c r="CD138" s="31"/>
      <c r="CE138" s="31"/>
      <c r="CF138" s="31"/>
      <c r="CG138" s="31">
        <v>60</v>
      </c>
      <c r="CH138" s="31">
        <v>120</v>
      </c>
      <c r="CI138" s="19">
        <v>0.4</v>
      </c>
      <c r="CJ138" s="19">
        <v>0.9</v>
      </c>
      <c r="CK138" s="19">
        <v>0.4</v>
      </c>
      <c r="CL138" s="19">
        <v>0.7</v>
      </c>
      <c r="CM138" s="17" t="s">
        <v>363</v>
      </c>
      <c r="CN138" s="20">
        <v>8</v>
      </c>
      <c r="CO138" s="20">
        <v>25</v>
      </c>
      <c r="CP138" s="17" t="s">
        <v>388</v>
      </c>
      <c r="CQ138" s="17" t="s">
        <v>178</v>
      </c>
      <c r="CR138" s="21">
        <v>5</v>
      </c>
      <c r="CS138" s="21">
        <v>5</v>
      </c>
      <c r="CT138" s="21">
        <v>6</v>
      </c>
      <c r="CU138" s="21">
        <v>3</v>
      </c>
      <c r="CV138" s="21">
        <v>5</v>
      </c>
      <c r="CW138" s="21">
        <v>3</v>
      </c>
      <c r="CX138" s="21">
        <v>4</v>
      </c>
      <c r="CY138" s="21">
        <v>10</v>
      </c>
      <c r="CZ138" s="21">
        <v>8</v>
      </c>
      <c r="DA138" s="21">
        <v>140</v>
      </c>
      <c r="DB138" s="21">
        <v>130</v>
      </c>
      <c r="DC138" s="21">
        <v>200</v>
      </c>
      <c r="DD138" s="21">
        <v>25</v>
      </c>
      <c r="DE138" s="21">
        <v>40</v>
      </c>
      <c r="DF138" s="21">
        <v>40</v>
      </c>
      <c r="DG138" s="21">
        <v>40</v>
      </c>
      <c r="DH138" s="21">
        <v>300</v>
      </c>
      <c r="DI138" s="21">
        <v>120</v>
      </c>
      <c r="DJ138" s="17" t="s">
        <v>389</v>
      </c>
      <c r="DK138" s="17" t="s">
        <v>180</v>
      </c>
      <c r="DL138" s="22">
        <v>75</v>
      </c>
      <c r="DM138" s="17" t="s">
        <v>390</v>
      </c>
      <c r="DN138" s="23"/>
      <c r="DO138" s="23"/>
      <c r="DP138" s="23"/>
      <c r="DQ138" s="24" t="s">
        <v>182</v>
      </c>
      <c r="DR138" s="25" t="s">
        <v>183</v>
      </c>
      <c r="DS138" s="25" t="s">
        <v>183</v>
      </c>
      <c r="DT138" s="25" t="s">
        <v>183</v>
      </c>
      <c r="DU138" s="25" t="s">
        <v>183</v>
      </c>
      <c r="DV138" s="25" t="s">
        <v>183</v>
      </c>
      <c r="DW138" s="24" t="s">
        <v>182</v>
      </c>
      <c r="DX138" s="23"/>
      <c r="DY138" s="23"/>
      <c r="DZ138" s="17" t="s">
        <v>391</v>
      </c>
      <c r="EA138" s="17" t="s">
        <v>379</v>
      </c>
      <c r="EB138" s="43" t="s">
        <v>214</v>
      </c>
      <c r="EC138" s="17" t="s">
        <v>370</v>
      </c>
      <c r="ED138" s="27" t="s">
        <v>371</v>
      </c>
      <c r="EE138" s="22">
        <v>2</v>
      </c>
      <c r="EF138" s="54" t="s">
        <v>392</v>
      </c>
    </row>
    <row r="139" spans="1:136" ht="15" customHeight="1" x14ac:dyDescent="0.25">
      <c r="A139" s="16" t="s">
        <v>1906</v>
      </c>
      <c r="B139" s="29" t="s">
        <v>1700</v>
      </c>
      <c r="C139" s="29" t="s">
        <v>1907</v>
      </c>
      <c r="D139" s="30">
        <v>19.600000000000001</v>
      </c>
      <c r="E139" s="30">
        <v>2.4</v>
      </c>
      <c r="F139" s="30">
        <v>0.3</v>
      </c>
      <c r="G139" s="30">
        <v>0.6</v>
      </c>
      <c r="H139" s="30">
        <v>2.5</v>
      </c>
      <c r="I139" s="30">
        <v>53</v>
      </c>
      <c r="J139" s="30">
        <v>3.2</v>
      </c>
      <c r="K139" s="30">
        <v>68</v>
      </c>
      <c r="L139" s="30">
        <v>46</v>
      </c>
      <c r="M139" s="30">
        <v>570</v>
      </c>
      <c r="N139" s="30">
        <v>21</v>
      </c>
      <c r="O139" s="30">
        <v>0.6</v>
      </c>
      <c r="P139" s="30">
        <v>4.3999999999999997E-2</v>
      </c>
      <c r="Q139" s="30">
        <v>0.78</v>
      </c>
      <c r="R139" s="30">
        <v>0</v>
      </c>
      <c r="S139" s="30">
        <v>328</v>
      </c>
      <c r="T139" s="30">
        <v>1.3</v>
      </c>
      <c r="U139" s="30">
        <v>27</v>
      </c>
      <c r="V139" s="30">
        <v>0.06</v>
      </c>
      <c r="W139" s="30">
        <v>0.16</v>
      </c>
      <c r="X139" s="30">
        <v>0.4</v>
      </c>
      <c r="Y139" s="30">
        <v>0.16</v>
      </c>
      <c r="Z139" s="30">
        <v>0</v>
      </c>
      <c r="AA139" s="30">
        <v>110</v>
      </c>
      <c r="AB139" s="31">
        <v>1997</v>
      </c>
      <c r="AC139" s="31" t="s">
        <v>1897</v>
      </c>
      <c r="AD139" s="31" t="s">
        <v>221</v>
      </c>
      <c r="AE139" s="31" t="s">
        <v>1567</v>
      </c>
      <c r="AF139" s="31"/>
      <c r="AG139" s="31" t="s">
        <v>1898</v>
      </c>
      <c r="AH139" s="31" t="s">
        <v>1899</v>
      </c>
      <c r="AI139" s="31" t="s">
        <v>155</v>
      </c>
      <c r="AJ139" s="31" t="s">
        <v>156</v>
      </c>
      <c r="AK139" s="31" t="s">
        <v>1357</v>
      </c>
      <c r="AL139" s="31" t="s">
        <v>282</v>
      </c>
      <c r="AM139" s="31" t="s">
        <v>159</v>
      </c>
      <c r="AN139" s="31" t="s">
        <v>506</v>
      </c>
      <c r="AO139" s="31" t="s">
        <v>161</v>
      </c>
      <c r="AP139" s="31" t="s">
        <v>161</v>
      </c>
      <c r="AQ139" s="31" t="s">
        <v>362</v>
      </c>
      <c r="AR139" s="31">
        <v>13</v>
      </c>
      <c r="AS139" s="31">
        <v>20</v>
      </c>
      <c r="AT139" s="31">
        <v>2</v>
      </c>
      <c r="AU139" s="31">
        <v>27</v>
      </c>
      <c r="AV139" s="31">
        <v>800</v>
      </c>
      <c r="AW139" s="31">
        <v>1200</v>
      </c>
      <c r="AX139" s="31">
        <v>300</v>
      </c>
      <c r="AY139" s="31">
        <v>1700</v>
      </c>
      <c r="AZ139" s="31">
        <v>6</v>
      </c>
      <c r="BA139" s="31">
        <v>7.5</v>
      </c>
      <c r="BB139" s="31">
        <v>5.3</v>
      </c>
      <c r="BC139" s="31">
        <v>8.3000000000000007</v>
      </c>
      <c r="BD139" s="31"/>
      <c r="BE139" s="31"/>
      <c r="BF139" s="31">
        <v>65</v>
      </c>
      <c r="BG139" s="31">
        <v>65</v>
      </c>
      <c r="BH139" s="31">
        <v>3600</v>
      </c>
      <c r="BI139" s="31" t="s">
        <v>163</v>
      </c>
      <c r="BJ139" s="31" t="s">
        <v>164</v>
      </c>
      <c r="BK139" s="31" t="s">
        <v>163</v>
      </c>
      <c r="BL139" s="31" t="s">
        <v>165</v>
      </c>
      <c r="BM139" s="31" t="s">
        <v>201</v>
      </c>
      <c r="BN139" s="31" t="s">
        <v>201</v>
      </c>
      <c r="BO139" s="31" t="s">
        <v>250</v>
      </c>
      <c r="BP139" s="31" t="s">
        <v>567</v>
      </c>
      <c r="BQ139" s="31" t="s">
        <v>169</v>
      </c>
      <c r="BR139" s="31" t="s">
        <v>170</v>
      </c>
      <c r="BS139" s="31"/>
      <c r="BT139" s="31"/>
      <c r="BU139" s="31" t="s">
        <v>171</v>
      </c>
      <c r="BV139" s="31" t="s">
        <v>171</v>
      </c>
      <c r="BW139" s="31" t="s">
        <v>172</v>
      </c>
      <c r="BX139" s="31" t="s">
        <v>172</v>
      </c>
      <c r="BY139" s="31">
        <v>-7</v>
      </c>
      <c r="BZ139" s="31">
        <v>0</v>
      </c>
      <c r="CA139" s="31" t="s">
        <v>173</v>
      </c>
      <c r="CB139" s="31" t="s">
        <v>1900</v>
      </c>
      <c r="CC139" s="31"/>
      <c r="CD139" s="31"/>
      <c r="CE139" s="31"/>
      <c r="CF139" s="31"/>
      <c r="CG139" s="31">
        <v>40</v>
      </c>
      <c r="CH139" s="31">
        <v>120</v>
      </c>
      <c r="CI139" s="32">
        <v>0.2</v>
      </c>
      <c r="CJ139" s="32">
        <v>0.4</v>
      </c>
      <c r="CK139" s="32">
        <v>0.2</v>
      </c>
      <c r="CL139" s="32">
        <v>0.4</v>
      </c>
      <c r="CM139" s="33" t="s">
        <v>1719</v>
      </c>
      <c r="CN139" s="34">
        <v>8</v>
      </c>
      <c r="CO139" s="34">
        <v>30</v>
      </c>
      <c r="CP139" s="35" t="s">
        <v>1908</v>
      </c>
      <c r="CQ139" s="35" t="s">
        <v>209</v>
      </c>
      <c r="CR139" s="36">
        <v>4</v>
      </c>
      <c r="CS139" s="36">
        <v>2</v>
      </c>
      <c r="CT139" s="36">
        <v>6</v>
      </c>
      <c r="CU139" s="36">
        <v>3</v>
      </c>
      <c r="CV139" s="36">
        <v>3</v>
      </c>
      <c r="CW139" s="36">
        <v>0</v>
      </c>
      <c r="CX139" s="36">
        <v>4</v>
      </c>
      <c r="CY139" s="36">
        <v>10</v>
      </c>
      <c r="CZ139" s="36">
        <v>6</v>
      </c>
      <c r="DA139" s="37">
        <v>120</v>
      </c>
      <c r="DB139" s="37">
        <v>60</v>
      </c>
      <c r="DC139" s="37">
        <v>200</v>
      </c>
      <c r="DD139" s="37">
        <v>25</v>
      </c>
      <c r="DE139" s="37">
        <v>25</v>
      </c>
      <c r="DF139" s="37">
        <v>0</v>
      </c>
      <c r="DG139" s="37">
        <v>40</v>
      </c>
      <c r="DH139" s="37">
        <v>300</v>
      </c>
      <c r="DI139" s="37">
        <v>100</v>
      </c>
      <c r="DJ139" s="38" t="s">
        <v>1909</v>
      </c>
      <c r="DK139" s="39" t="s">
        <v>180</v>
      </c>
      <c r="DL139" s="40">
        <v>75</v>
      </c>
      <c r="DM139" s="39" t="s">
        <v>1910</v>
      </c>
      <c r="DN139" s="41"/>
      <c r="DO139" s="41"/>
      <c r="DP139" s="24" t="s">
        <v>182</v>
      </c>
      <c r="DQ139" s="25" t="s">
        <v>183</v>
      </c>
      <c r="DR139" s="25" t="s">
        <v>183</v>
      </c>
      <c r="DS139" s="25" t="s">
        <v>183</v>
      </c>
      <c r="DT139" s="25" t="s">
        <v>183</v>
      </c>
      <c r="DU139" s="25" t="s">
        <v>183</v>
      </c>
      <c r="DV139" s="25" t="s">
        <v>183</v>
      </c>
      <c r="DW139" s="24" t="s">
        <v>182</v>
      </c>
      <c r="DX139" s="24" t="s">
        <v>182</v>
      </c>
      <c r="DY139" s="41"/>
      <c r="DZ139" s="42" t="s">
        <v>1911</v>
      </c>
      <c r="EA139" s="42" t="s">
        <v>379</v>
      </c>
      <c r="EB139" s="43" t="s">
        <v>214</v>
      </c>
      <c r="EC139" s="44" t="s">
        <v>370</v>
      </c>
      <c r="ED139" s="45" t="s">
        <v>371</v>
      </c>
      <c r="EE139" s="46">
        <v>2</v>
      </c>
      <c r="EF139" s="47" t="s">
        <v>1477</v>
      </c>
    </row>
    <row r="140" spans="1:136" ht="15" customHeight="1" x14ac:dyDescent="0.25">
      <c r="A140" s="16" t="s">
        <v>1895</v>
      </c>
      <c r="B140" s="17" t="s">
        <v>1700</v>
      </c>
      <c r="C140" s="17" t="s">
        <v>1896</v>
      </c>
      <c r="D140" s="18">
        <v>16.3</v>
      </c>
      <c r="E140" s="18">
        <v>2.8</v>
      </c>
      <c r="F140" s="18">
        <v>0</v>
      </c>
      <c r="G140" s="18">
        <v>0</v>
      </c>
      <c r="H140" s="18">
        <v>2.5</v>
      </c>
      <c r="I140" s="18">
        <v>91</v>
      </c>
      <c r="J140" s="18">
        <v>1.7</v>
      </c>
      <c r="K140" s="18">
        <v>104</v>
      </c>
      <c r="L140" s="18">
        <v>52</v>
      </c>
      <c r="M140" s="18">
        <v>610</v>
      </c>
      <c r="N140" s="18">
        <v>86</v>
      </c>
      <c r="O140" s="18">
        <v>0.76</v>
      </c>
      <c r="P140" s="18">
        <v>0.13400000000000001</v>
      </c>
      <c r="Q140" s="18">
        <v>0.45500000000000002</v>
      </c>
      <c r="R140" s="18">
        <v>0</v>
      </c>
      <c r="S140" s="18">
        <v>662</v>
      </c>
      <c r="T140" s="18">
        <v>1.94</v>
      </c>
      <c r="U140" s="18">
        <v>23</v>
      </c>
      <c r="V140" s="18">
        <v>7.0000000000000007E-2</v>
      </c>
      <c r="W140" s="18">
        <v>0.04</v>
      </c>
      <c r="X140" s="18">
        <v>0</v>
      </c>
      <c r="Y140" s="18">
        <v>0.15</v>
      </c>
      <c r="Z140" s="18">
        <v>0</v>
      </c>
      <c r="AA140" s="18">
        <v>158</v>
      </c>
      <c r="AB140" s="18">
        <v>1997</v>
      </c>
      <c r="AC140" s="18" t="s">
        <v>1897</v>
      </c>
      <c r="AD140" s="18" t="s">
        <v>221</v>
      </c>
      <c r="AE140" s="18" t="s">
        <v>1567</v>
      </c>
      <c r="AF140" s="18"/>
      <c r="AG140" s="18" t="s">
        <v>1898</v>
      </c>
      <c r="AH140" s="18" t="s">
        <v>1899</v>
      </c>
      <c r="AI140" s="18" t="s">
        <v>155</v>
      </c>
      <c r="AJ140" s="18" t="s">
        <v>156</v>
      </c>
      <c r="AK140" s="18" t="s">
        <v>1357</v>
      </c>
      <c r="AL140" s="18" t="s">
        <v>282</v>
      </c>
      <c r="AM140" s="18" t="s">
        <v>159</v>
      </c>
      <c r="AN140" s="18" t="s">
        <v>506</v>
      </c>
      <c r="AO140" s="18" t="s">
        <v>161</v>
      </c>
      <c r="AP140" s="18" t="s">
        <v>161</v>
      </c>
      <c r="AQ140" s="18" t="s">
        <v>362</v>
      </c>
      <c r="AR140" s="18">
        <v>13</v>
      </c>
      <c r="AS140" s="18">
        <v>20</v>
      </c>
      <c r="AT140" s="18">
        <v>2</v>
      </c>
      <c r="AU140" s="18">
        <v>27</v>
      </c>
      <c r="AV140" s="18">
        <v>800</v>
      </c>
      <c r="AW140" s="18">
        <v>1200</v>
      </c>
      <c r="AX140" s="18">
        <v>300</v>
      </c>
      <c r="AY140" s="18">
        <v>1700</v>
      </c>
      <c r="AZ140" s="18">
        <v>6</v>
      </c>
      <c r="BA140" s="18">
        <v>7.5</v>
      </c>
      <c r="BB140" s="18">
        <v>5.3</v>
      </c>
      <c r="BC140" s="18">
        <v>8.3000000000000007</v>
      </c>
      <c r="BD140" s="18"/>
      <c r="BE140" s="18"/>
      <c r="BF140" s="18">
        <v>65</v>
      </c>
      <c r="BG140" s="18">
        <v>65</v>
      </c>
      <c r="BH140" s="18">
        <v>3600</v>
      </c>
      <c r="BI140" s="18" t="s">
        <v>163</v>
      </c>
      <c r="BJ140" s="18" t="s">
        <v>164</v>
      </c>
      <c r="BK140" s="18" t="s">
        <v>163</v>
      </c>
      <c r="BL140" s="18" t="s">
        <v>165</v>
      </c>
      <c r="BM140" s="18" t="s">
        <v>201</v>
      </c>
      <c r="BN140" s="18" t="s">
        <v>201</v>
      </c>
      <c r="BO140" s="18" t="s">
        <v>250</v>
      </c>
      <c r="BP140" s="18" t="s">
        <v>567</v>
      </c>
      <c r="BQ140" s="18" t="s">
        <v>169</v>
      </c>
      <c r="BR140" s="18" t="s">
        <v>170</v>
      </c>
      <c r="BS140" s="18"/>
      <c r="BT140" s="18"/>
      <c r="BU140" s="18" t="s">
        <v>171</v>
      </c>
      <c r="BV140" s="18" t="s">
        <v>171</v>
      </c>
      <c r="BW140" s="18" t="s">
        <v>172</v>
      </c>
      <c r="BX140" s="18" t="s">
        <v>172</v>
      </c>
      <c r="BY140" s="18">
        <v>-7</v>
      </c>
      <c r="BZ140" s="18">
        <v>0</v>
      </c>
      <c r="CA140" s="18" t="s">
        <v>173</v>
      </c>
      <c r="CB140" s="18" t="s">
        <v>1900</v>
      </c>
      <c r="CC140" s="18"/>
      <c r="CD140" s="18"/>
      <c r="CE140" s="18"/>
      <c r="CF140" s="18"/>
      <c r="CG140" s="18">
        <v>40</v>
      </c>
      <c r="CH140" s="18">
        <v>120</v>
      </c>
      <c r="CI140" s="19">
        <v>0.2</v>
      </c>
      <c r="CJ140" s="19">
        <v>0.4</v>
      </c>
      <c r="CK140" s="19">
        <v>0.2</v>
      </c>
      <c r="CL140" s="19">
        <v>0.4</v>
      </c>
      <c r="CM140" s="17" t="s">
        <v>1719</v>
      </c>
      <c r="CN140" s="20">
        <v>8</v>
      </c>
      <c r="CO140" s="20">
        <v>25</v>
      </c>
      <c r="CP140" s="17" t="s">
        <v>1901</v>
      </c>
      <c r="CQ140" s="17" t="s">
        <v>178</v>
      </c>
      <c r="CR140" s="21">
        <v>4</v>
      </c>
      <c r="CS140" s="21">
        <v>2</v>
      </c>
      <c r="CT140" s="21">
        <v>6</v>
      </c>
      <c r="CU140" s="21">
        <v>3</v>
      </c>
      <c r="CV140" s="21">
        <v>3</v>
      </c>
      <c r="CW140" s="21">
        <v>0</v>
      </c>
      <c r="CX140" s="21">
        <v>4</v>
      </c>
      <c r="CY140" s="21">
        <v>12</v>
      </c>
      <c r="CZ140" s="21">
        <v>8</v>
      </c>
      <c r="DA140" s="21">
        <v>120</v>
      </c>
      <c r="DB140" s="21">
        <v>60</v>
      </c>
      <c r="DC140" s="21">
        <v>200</v>
      </c>
      <c r="DD140" s="21">
        <v>25</v>
      </c>
      <c r="DE140" s="21">
        <v>25</v>
      </c>
      <c r="DF140" s="21">
        <v>0</v>
      </c>
      <c r="DG140" s="21">
        <v>40</v>
      </c>
      <c r="DH140" s="21">
        <v>350</v>
      </c>
      <c r="DI140" s="21">
        <v>120</v>
      </c>
      <c r="DJ140" s="17" t="s">
        <v>1902</v>
      </c>
      <c r="DK140" s="17" t="s">
        <v>180</v>
      </c>
      <c r="DL140" s="22">
        <v>75</v>
      </c>
      <c r="DM140" s="17" t="s">
        <v>1903</v>
      </c>
      <c r="DN140" s="23"/>
      <c r="DO140" s="23"/>
      <c r="DP140" s="24" t="s">
        <v>182</v>
      </c>
      <c r="DQ140" s="25" t="s">
        <v>183</v>
      </c>
      <c r="DR140" s="25" t="s">
        <v>183</v>
      </c>
      <c r="DS140" s="25" t="s">
        <v>183</v>
      </c>
      <c r="DT140" s="25" t="s">
        <v>183</v>
      </c>
      <c r="DU140" s="25" t="s">
        <v>183</v>
      </c>
      <c r="DV140" s="25" t="s">
        <v>183</v>
      </c>
      <c r="DW140" s="24" t="s">
        <v>182</v>
      </c>
      <c r="DX140" s="24" t="s">
        <v>182</v>
      </c>
      <c r="DY140" s="23"/>
      <c r="DZ140" s="17" t="s">
        <v>1904</v>
      </c>
      <c r="EA140" s="17" t="s">
        <v>379</v>
      </c>
      <c r="EB140" s="58" t="s">
        <v>1815</v>
      </c>
      <c r="EC140" s="17" t="s">
        <v>1905</v>
      </c>
      <c r="ED140" s="27" t="s">
        <v>371</v>
      </c>
      <c r="EE140" s="22">
        <v>2</v>
      </c>
      <c r="EF140" s="55" t="s">
        <v>531</v>
      </c>
    </row>
    <row r="141" spans="1:136" ht="15" customHeight="1" x14ac:dyDescent="0.25">
      <c r="A141" s="16" t="s">
        <v>2338</v>
      </c>
      <c r="B141" s="29" t="s">
        <v>2325</v>
      </c>
      <c r="C141" s="29" t="s">
        <v>2339</v>
      </c>
      <c r="D141" s="30">
        <v>24.9</v>
      </c>
      <c r="E141" s="30">
        <v>2.2999999999999998</v>
      </c>
      <c r="F141" s="30">
        <v>0.2</v>
      </c>
      <c r="G141" s="30">
        <v>2.2999999999999998</v>
      </c>
      <c r="H141" s="30">
        <v>2.2999999999999998</v>
      </c>
      <c r="I141" s="30">
        <v>16</v>
      </c>
      <c r="J141" s="30">
        <v>0.4</v>
      </c>
      <c r="K141" s="30">
        <v>22</v>
      </c>
      <c r="L141" s="30">
        <v>42</v>
      </c>
      <c r="M141" s="30">
        <v>230</v>
      </c>
      <c r="N141" s="30">
        <v>3</v>
      </c>
      <c r="O141" s="30">
        <v>1.5</v>
      </c>
      <c r="P141" s="30"/>
      <c r="Q141" s="30"/>
      <c r="R141" s="30">
        <v>0</v>
      </c>
      <c r="S141" s="30">
        <v>15</v>
      </c>
      <c r="T141" s="30">
        <v>0.72</v>
      </c>
      <c r="U141" s="30">
        <v>15</v>
      </c>
      <c r="V141" s="30">
        <v>0.06</v>
      </c>
      <c r="W141" s="30">
        <v>0.09</v>
      </c>
      <c r="X141" s="30">
        <v>1</v>
      </c>
      <c r="Y141" s="30">
        <v>0.12</v>
      </c>
      <c r="Z141" s="30">
        <v>0</v>
      </c>
      <c r="AA141" s="30">
        <v>23</v>
      </c>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19">
        <v>0.4</v>
      </c>
      <c r="CJ141" s="19">
        <v>0.6</v>
      </c>
      <c r="CK141" s="19">
        <v>0.3</v>
      </c>
      <c r="CL141" s="19">
        <v>0.5</v>
      </c>
      <c r="CM141" s="17" t="s">
        <v>2340</v>
      </c>
      <c r="CN141" s="20">
        <v>1</v>
      </c>
      <c r="CO141" s="20">
        <v>5</v>
      </c>
      <c r="CP141" s="17" t="s">
        <v>2341</v>
      </c>
      <c r="CQ141" s="17" t="s">
        <v>209</v>
      </c>
      <c r="CR141" s="21">
        <v>3</v>
      </c>
      <c r="CS141" s="21">
        <v>2</v>
      </c>
      <c r="CT141" s="21">
        <v>4</v>
      </c>
      <c r="CU141" s="21">
        <v>1</v>
      </c>
      <c r="CV141" s="21">
        <v>2</v>
      </c>
      <c r="CW141" s="21">
        <v>0</v>
      </c>
      <c r="CX141" s="21">
        <v>2</v>
      </c>
      <c r="CY141" s="21">
        <v>6</v>
      </c>
      <c r="CZ141" s="21">
        <v>3</v>
      </c>
      <c r="DA141" s="21">
        <v>110</v>
      </c>
      <c r="DB141" s="21">
        <v>60</v>
      </c>
      <c r="DC141" s="21">
        <v>140</v>
      </c>
      <c r="DD141" s="21">
        <v>15</v>
      </c>
      <c r="DE141" s="21">
        <v>20</v>
      </c>
      <c r="DF141" s="21">
        <v>0</v>
      </c>
      <c r="DG141" s="21">
        <v>20</v>
      </c>
      <c r="DH141" s="21">
        <v>280</v>
      </c>
      <c r="DI141" s="21">
        <v>60</v>
      </c>
      <c r="DJ141" s="17" t="s">
        <v>724</v>
      </c>
      <c r="DK141" s="17" t="s">
        <v>1979</v>
      </c>
      <c r="DL141" s="22">
        <v>150</v>
      </c>
      <c r="DM141" s="17" t="s">
        <v>2342</v>
      </c>
      <c r="DN141" s="25" t="s">
        <v>183</v>
      </c>
      <c r="DO141" s="25" t="s">
        <v>183</v>
      </c>
      <c r="DP141" s="25" t="s">
        <v>183</v>
      </c>
      <c r="DQ141" s="24" t="s">
        <v>182</v>
      </c>
      <c r="DR141" s="23"/>
      <c r="DS141" s="23"/>
      <c r="DT141" s="23"/>
      <c r="DU141" s="23"/>
      <c r="DV141" s="23"/>
      <c r="DW141" s="23"/>
      <c r="DX141" s="23"/>
      <c r="DY141" s="24" t="s">
        <v>182</v>
      </c>
      <c r="DZ141" s="17" t="s">
        <v>2343</v>
      </c>
      <c r="EA141" s="17" t="s">
        <v>543</v>
      </c>
      <c r="EB141" s="48" t="s">
        <v>239</v>
      </c>
      <c r="EC141" s="17" t="s">
        <v>2202</v>
      </c>
      <c r="ED141" s="27" t="s">
        <v>1500</v>
      </c>
      <c r="EE141" s="22">
        <v>2</v>
      </c>
      <c r="EF141" s="9" t="s">
        <v>1501</v>
      </c>
    </row>
    <row r="142" spans="1:136" ht="15" customHeight="1" x14ac:dyDescent="0.25">
      <c r="A142" s="16" t="s">
        <v>2593</v>
      </c>
      <c r="B142" s="29" t="s">
        <v>2580</v>
      </c>
      <c r="C142" s="29" t="s">
        <v>2594</v>
      </c>
      <c r="D142" s="30">
        <v>57.8</v>
      </c>
      <c r="E142" s="30">
        <v>2</v>
      </c>
      <c r="F142" s="30">
        <v>0</v>
      </c>
      <c r="G142" s="30">
        <v>11.5</v>
      </c>
      <c r="H142" s="30">
        <v>1.1000000000000001</v>
      </c>
      <c r="I142" s="30">
        <v>3</v>
      </c>
      <c r="J142" s="30">
        <v>0.45</v>
      </c>
      <c r="K142" s="30">
        <v>19</v>
      </c>
      <c r="L142" s="30">
        <v>54</v>
      </c>
      <c r="M142" s="30">
        <v>380</v>
      </c>
      <c r="N142" s="30">
        <v>4</v>
      </c>
      <c r="O142" s="30">
        <v>0.21</v>
      </c>
      <c r="P142" s="30">
        <v>3.5999999999999997E-2</v>
      </c>
      <c r="Q142" s="30">
        <v>0.12</v>
      </c>
      <c r="R142" s="30">
        <v>0</v>
      </c>
      <c r="S142" s="30">
        <v>0</v>
      </c>
      <c r="T142" s="30">
        <v>0</v>
      </c>
      <c r="U142" s="30">
        <v>16</v>
      </c>
      <c r="V142" s="30">
        <v>7.0000000000000007E-2</v>
      </c>
      <c r="W142" s="30">
        <v>0.02</v>
      </c>
      <c r="X142" s="30">
        <v>1.1000000000000001</v>
      </c>
      <c r="Y142" s="30">
        <v>0.11</v>
      </c>
      <c r="Z142" s="30">
        <v>0</v>
      </c>
      <c r="AA142" s="30">
        <v>14</v>
      </c>
      <c r="AB142" s="31">
        <v>1971</v>
      </c>
      <c r="AC142" s="31" t="s">
        <v>2595</v>
      </c>
      <c r="AD142" s="31" t="s">
        <v>221</v>
      </c>
      <c r="AE142" s="31" t="s">
        <v>579</v>
      </c>
      <c r="AF142" s="31" t="s">
        <v>2596</v>
      </c>
      <c r="AG142" s="31" t="s">
        <v>2597</v>
      </c>
      <c r="AH142" s="31" t="s">
        <v>2598</v>
      </c>
      <c r="AI142" s="31" t="s">
        <v>155</v>
      </c>
      <c r="AJ142" s="31" t="s">
        <v>156</v>
      </c>
      <c r="AK142" s="31" t="s">
        <v>157</v>
      </c>
      <c r="AL142" s="31" t="s">
        <v>282</v>
      </c>
      <c r="AM142" s="31" t="s">
        <v>159</v>
      </c>
      <c r="AN142" s="31" t="s">
        <v>506</v>
      </c>
      <c r="AO142" s="31" t="s">
        <v>2599</v>
      </c>
      <c r="AP142" s="31" t="s">
        <v>316</v>
      </c>
      <c r="AQ142" s="31" t="s">
        <v>162</v>
      </c>
      <c r="AR142" s="31">
        <v>15</v>
      </c>
      <c r="AS142" s="31">
        <v>25</v>
      </c>
      <c r="AT142" s="31">
        <v>7</v>
      </c>
      <c r="AU142" s="31">
        <v>30</v>
      </c>
      <c r="AV142" s="31">
        <v>500</v>
      </c>
      <c r="AW142" s="31">
        <v>800</v>
      </c>
      <c r="AX142" s="31">
        <v>250</v>
      </c>
      <c r="AY142" s="31">
        <v>2000</v>
      </c>
      <c r="AZ142" s="31">
        <v>5</v>
      </c>
      <c r="BA142" s="31">
        <v>6.2</v>
      </c>
      <c r="BB142" s="31">
        <v>4.2</v>
      </c>
      <c r="BC142" s="31">
        <v>8.5</v>
      </c>
      <c r="BD142" s="31"/>
      <c r="BE142" s="31"/>
      <c r="BF142" s="31">
        <v>20</v>
      </c>
      <c r="BG142" s="31">
        <v>60</v>
      </c>
      <c r="BH142" s="31">
        <v>2800</v>
      </c>
      <c r="BI142" s="31" t="s">
        <v>163</v>
      </c>
      <c r="BJ142" s="31" t="s">
        <v>163</v>
      </c>
      <c r="BK142" s="31" t="s">
        <v>163</v>
      </c>
      <c r="BL142" s="31" t="s">
        <v>165</v>
      </c>
      <c r="BM142" s="31" t="s">
        <v>166</v>
      </c>
      <c r="BN142" s="31" t="s">
        <v>201</v>
      </c>
      <c r="BO142" s="31" t="s">
        <v>167</v>
      </c>
      <c r="BP142" s="31" t="s">
        <v>203</v>
      </c>
      <c r="BQ142" s="31" t="s">
        <v>170</v>
      </c>
      <c r="BR142" s="31" t="s">
        <v>230</v>
      </c>
      <c r="BS142" s="31"/>
      <c r="BT142" s="31"/>
      <c r="BU142" s="31" t="s">
        <v>171</v>
      </c>
      <c r="BV142" s="31" t="s">
        <v>171</v>
      </c>
      <c r="BW142" s="31" t="s">
        <v>172</v>
      </c>
      <c r="BX142" s="31" t="s">
        <v>290</v>
      </c>
      <c r="BY142" s="31">
        <v>-1</v>
      </c>
      <c r="BZ142" s="31">
        <v>0</v>
      </c>
      <c r="CA142" s="31" t="s">
        <v>173</v>
      </c>
      <c r="CB142" s="31" t="s">
        <v>232</v>
      </c>
      <c r="CC142" s="31"/>
      <c r="CD142" s="31"/>
      <c r="CE142" s="31" t="s">
        <v>2600</v>
      </c>
      <c r="CF142" s="31" t="s">
        <v>206</v>
      </c>
      <c r="CG142" s="31">
        <v>90</v>
      </c>
      <c r="CH142" s="31">
        <v>160</v>
      </c>
      <c r="CI142" s="19">
        <v>0.3</v>
      </c>
      <c r="CJ142" s="19">
        <v>1</v>
      </c>
      <c r="CK142" s="19">
        <v>0.3</v>
      </c>
      <c r="CL142" s="19">
        <v>0.8</v>
      </c>
      <c r="CM142" s="17" t="s">
        <v>2601</v>
      </c>
      <c r="CN142" s="20">
        <v>8</v>
      </c>
      <c r="CO142" s="20">
        <v>60</v>
      </c>
      <c r="CP142" s="17" t="s">
        <v>2602</v>
      </c>
      <c r="CQ142" s="17" t="s">
        <v>209</v>
      </c>
      <c r="CR142" s="21">
        <v>8</v>
      </c>
      <c r="CS142" s="21">
        <v>5</v>
      </c>
      <c r="CT142" s="21">
        <v>5</v>
      </c>
      <c r="CU142" s="21">
        <v>3</v>
      </c>
      <c r="CV142" s="21">
        <v>4</v>
      </c>
      <c r="CW142" s="21">
        <v>0</v>
      </c>
      <c r="CX142" s="21">
        <v>3</v>
      </c>
      <c r="CY142" s="21">
        <v>8</v>
      </c>
      <c r="CZ142" s="21">
        <v>5</v>
      </c>
      <c r="DA142" s="21">
        <v>180</v>
      </c>
      <c r="DB142" s="21">
        <v>150</v>
      </c>
      <c r="DC142" s="21">
        <v>150</v>
      </c>
      <c r="DD142" s="21">
        <v>30</v>
      </c>
      <c r="DE142" s="21">
        <v>30</v>
      </c>
      <c r="DF142" s="21">
        <v>0</v>
      </c>
      <c r="DG142" s="21">
        <v>30</v>
      </c>
      <c r="DH142" s="21">
        <v>350</v>
      </c>
      <c r="DI142" s="21">
        <v>100</v>
      </c>
      <c r="DJ142" s="17" t="s">
        <v>2603</v>
      </c>
      <c r="DK142" s="17" t="s">
        <v>180</v>
      </c>
      <c r="DL142" s="22">
        <v>75</v>
      </c>
      <c r="DM142" s="17" t="s">
        <v>2604</v>
      </c>
      <c r="DN142" s="24" t="s">
        <v>182</v>
      </c>
      <c r="DO142" s="24" t="s">
        <v>182</v>
      </c>
      <c r="DP142" s="23"/>
      <c r="DQ142" s="23"/>
      <c r="DR142" s="23"/>
      <c r="DS142" s="23"/>
      <c r="DT142" s="23"/>
      <c r="DU142" s="24" t="s">
        <v>182</v>
      </c>
      <c r="DV142" s="25" t="s">
        <v>183</v>
      </c>
      <c r="DW142" s="25" t="s">
        <v>183</v>
      </c>
      <c r="DX142" s="25" t="s">
        <v>183</v>
      </c>
      <c r="DY142" s="25" t="s">
        <v>183</v>
      </c>
      <c r="DZ142" s="17" t="s">
        <v>2605</v>
      </c>
      <c r="EA142" s="17" t="s">
        <v>2606</v>
      </c>
      <c r="EB142" s="48" t="s">
        <v>239</v>
      </c>
      <c r="EC142" s="17" t="s">
        <v>2607</v>
      </c>
      <c r="ED142" s="27" t="s">
        <v>2608</v>
      </c>
      <c r="EE142" s="22">
        <v>2</v>
      </c>
      <c r="EF142" s="49" t="s">
        <v>428</v>
      </c>
    </row>
    <row r="143" spans="1:136" ht="15" customHeight="1" x14ac:dyDescent="0.25">
      <c r="A143" s="16" t="s">
        <v>2311</v>
      </c>
      <c r="B143" s="17" t="s">
        <v>2221</v>
      </c>
      <c r="C143" s="17" t="s">
        <v>2312</v>
      </c>
      <c r="D143" s="18">
        <v>22.2</v>
      </c>
      <c r="E143" s="18">
        <v>0.9</v>
      </c>
      <c r="F143" s="18">
        <v>0</v>
      </c>
      <c r="G143" s="18">
        <v>3.7</v>
      </c>
      <c r="H143" s="18">
        <v>2.2000000000000002</v>
      </c>
      <c r="I143" s="18">
        <v>22</v>
      </c>
      <c r="J143" s="18">
        <v>0.3</v>
      </c>
      <c r="K143" s="18">
        <v>11</v>
      </c>
      <c r="L143" s="18">
        <v>54</v>
      </c>
      <c r="M143" s="18">
        <v>310</v>
      </c>
      <c r="N143" s="18">
        <v>12</v>
      </c>
      <c r="O143" s="18">
        <v>0.2</v>
      </c>
      <c r="P143" s="18"/>
      <c r="Q143" s="18"/>
      <c r="R143" s="18">
        <v>0</v>
      </c>
      <c r="S143" s="18">
        <v>0</v>
      </c>
      <c r="T143" s="18">
        <v>0</v>
      </c>
      <c r="U143" s="18">
        <v>27</v>
      </c>
      <c r="V143" s="18">
        <v>0.05</v>
      </c>
      <c r="W143" s="18">
        <v>0.03</v>
      </c>
      <c r="X143" s="18">
        <v>0.9</v>
      </c>
      <c r="Y143" s="18">
        <v>0.11</v>
      </c>
      <c r="Z143" s="18">
        <v>0</v>
      </c>
      <c r="AA143" s="18">
        <v>11</v>
      </c>
      <c r="AB143" s="18">
        <v>3861</v>
      </c>
      <c r="AC143" s="18" t="s">
        <v>2313</v>
      </c>
      <c r="AD143" s="18" t="s">
        <v>2314</v>
      </c>
      <c r="AE143" s="18" t="s">
        <v>152</v>
      </c>
      <c r="AF143" s="18"/>
      <c r="AG143" s="18" t="s">
        <v>2315</v>
      </c>
      <c r="AH143" s="18" t="s">
        <v>2316</v>
      </c>
      <c r="AI143" s="18" t="s">
        <v>155</v>
      </c>
      <c r="AJ143" s="18" t="s">
        <v>156</v>
      </c>
      <c r="AK143" s="18" t="s">
        <v>157</v>
      </c>
      <c r="AL143" s="18" t="s">
        <v>158</v>
      </c>
      <c r="AM143" s="18" t="s">
        <v>159</v>
      </c>
      <c r="AN143" s="18" t="s">
        <v>160</v>
      </c>
      <c r="AO143" s="18" t="s">
        <v>2317</v>
      </c>
      <c r="AP143" s="18" t="s">
        <v>316</v>
      </c>
      <c r="AQ143" s="18" t="s">
        <v>162</v>
      </c>
      <c r="AR143" s="18">
        <v>14</v>
      </c>
      <c r="AS143" s="18">
        <v>24</v>
      </c>
      <c r="AT143" s="18">
        <v>5</v>
      </c>
      <c r="AU143" s="18">
        <v>35</v>
      </c>
      <c r="AV143" s="18">
        <v>700</v>
      </c>
      <c r="AW143" s="18">
        <v>1000</v>
      </c>
      <c r="AX143" s="18">
        <v>300</v>
      </c>
      <c r="AY143" s="18">
        <v>1700</v>
      </c>
      <c r="AZ143" s="18">
        <v>5.5</v>
      </c>
      <c r="BA143" s="18">
        <v>7</v>
      </c>
      <c r="BB143" s="18">
        <v>4.8</v>
      </c>
      <c r="BC143" s="18">
        <v>7.8</v>
      </c>
      <c r="BD143" s="18"/>
      <c r="BE143" s="18"/>
      <c r="BF143" s="18"/>
      <c r="BG143" s="18"/>
      <c r="BH143" s="18"/>
      <c r="BI143" s="18" t="s">
        <v>163</v>
      </c>
      <c r="BJ143" s="18" t="s">
        <v>165</v>
      </c>
      <c r="BK143" s="18" t="s">
        <v>163</v>
      </c>
      <c r="BL143" s="18" t="s">
        <v>317</v>
      </c>
      <c r="BM143" s="18" t="s">
        <v>166</v>
      </c>
      <c r="BN143" s="18" t="s">
        <v>166</v>
      </c>
      <c r="BO143" s="18" t="s">
        <v>250</v>
      </c>
      <c r="BP143" s="18" t="s">
        <v>203</v>
      </c>
      <c r="BQ143" s="18" t="s">
        <v>169</v>
      </c>
      <c r="BR143" s="18" t="s">
        <v>170</v>
      </c>
      <c r="BS143" s="18"/>
      <c r="BT143" s="18"/>
      <c r="BU143" s="18" t="s">
        <v>171</v>
      </c>
      <c r="BV143" s="18" t="s">
        <v>171</v>
      </c>
      <c r="BW143" s="18" t="s">
        <v>172</v>
      </c>
      <c r="BX143" s="18" t="s">
        <v>172</v>
      </c>
      <c r="BY143" s="18">
        <v>-1</v>
      </c>
      <c r="BZ143" s="18">
        <v>-1</v>
      </c>
      <c r="CA143" s="18" t="s">
        <v>173</v>
      </c>
      <c r="CB143" s="18" t="s">
        <v>2318</v>
      </c>
      <c r="CC143" s="18"/>
      <c r="CD143" s="18"/>
      <c r="CE143" s="18"/>
      <c r="CF143" s="18"/>
      <c r="CG143" s="18">
        <v>180</v>
      </c>
      <c r="CH143" s="18">
        <v>180</v>
      </c>
      <c r="CI143" s="19">
        <v>0.3</v>
      </c>
      <c r="CJ143" s="19">
        <v>0.6</v>
      </c>
      <c r="CK143" s="19">
        <v>0.3</v>
      </c>
      <c r="CL143" s="19">
        <v>0.5</v>
      </c>
      <c r="CM143" s="17" t="s">
        <v>1922</v>
      </c>
      <c r="CN143" s="20">
        <v>20</v>
      </c>
      <c r="CO143" s="20">
        <v>70</v>
      </c>
      <c r="CP143" s="17" t="s">
        <v>2319</v>
      </c>
      <c r="CQ143" s="17" t="s">
        <v>1924</v>
      </c>
      <c r="CR143" s="21">
        <v>4</v>
      </c>
      <c r="CS143" s="21">
        <v>2</v>
      </c>
      <c r="CT143" s="21">
        <v>6</v>
      </c>
      <c r="CU143" s="21">
        <v>2</v>
      </c>
      <c r="CV143" s="21">
        <v>3</v>
      </c>
      <c r="CW143" s="21">
        <v>0</v>
      </c>
      <c r="CX143" s="21">
        <v>3</v>
      </c>
      <c r="CY143" s="21">
        <v>6</v>
      </c>
      <c r="CZ143" s="21">
        <v>4</v>
      </c>
      <c r="DA143" s="21">
        <v>130</v>
      </c>
      <c r="DB143" s="21">
        <v>55</v>
      </c>
      <c r="DC143" s="21">
        <v>180</v>
      </c>
      <c r="DD143" s="21">
        <v>20</v>
      </c>
      <c r="DE143" s="21">
        <v>20</v>
      </c>
      <c r="DF143" s="21">
        <v>0</v>
      </c>
      <c r="DG143" s="21">
        <v>30</v>
      </c>
      <c r="DH143" s="21">
        <v>250</v>
      </c>
      <c r="DI143" s="21">
        <v>80</v>
      </c>
      <c r="DJ143" s="17" t="s">
        <v>269</v>
      </c>
      <c r="DK143" s="17" t="s">
        <v>180</v>
      </c>
      <c r="DL143" s="22">
        <v>75</v>
      </c>
      <c r="DM143" s="17" t="s">
        <v>2320</v>
      </c>
      <c r="DN143" s="23"/>
      <c r="DO143" s="23"/>
      <c r="DP143" s="23"/>
      <c r="DQ143" s="23"/>
      <c r="DR143" s="24" t="s">
        <v>182</v>
      </c>
      <c r="DS143" s="25" t="s">
        <v>183</v>
      </c>
      <c r="DT143" s="25" t="s">
        <v>183</v>
      </c>
      <c r="DU143" s="25" t="s">
        <v>183</v>
      </c>
      <c r="DV143" s="25" t="s">
        <v>183</v>
      </c>
      <c r="DW143" s="24" t="s">
        <v>182</v>
      </c>
      <c r="DX143" s="23"/>
      <c r="DY143" s="23"/>
      <c r="DZ143" s="17" t="s">
        <v>2289</v>
      </c>
      <c r="EA143" s="17" t="s">
        <v>2321</v>
      </c>
      <c r="EB143" s="48" t="s">
        <v>239</v>
      </c>
      <c r="EC143" s="17" t="s">
        <v>1928</v>
      </c>
      <c r="ED143" s="27" t="s">
        <v>1166</v>
      </c>
      <c r="EE143" s="22">
        <v>1</v>
      </c>
      <c r="EF143" s="49" t="s">
        <v>1166</v>
      </c>
    </row>
    <row r="144" spans="1:136" ht="15" customHeight="1" x14ac:dyDescent="0.25">
      <c r="A144" s="16" t="s">
        <v>1305</v>
      </c>
      <c r="B144" s="29" t="s">
        <v>409</v>
      </c>
      <c r="C144" s="29" t="s">
        <v>1306</v>
      </c>
      <c r="D144" s="30">
        <v>48</v>
      </c>
      <c r="E144" s="30">
        <v>1.1000000000000001</v>
      </c>
      <c r="F144" s="30">
        <v>0.3</v>
      </c>
      <c r="G144" s="30">
        <v>6.9</v>
      </c>
      <c r="H144" s="30">
        <v>4.8</v>
      </c>
      <c r="I144" s="30">
        <v>24</v>
      </c>
      <c r="J144" s="30">
        <v>0.53</v>
      </c>
      <c r="K144" s="30">
        <v>20</v>
      </c>
      <c r="L144" s="30">
        <v>32</v>
      </c>
      <c r="M144" s="30">
        <v>154</v>
      </c>
      <c r="N144" s="30">
        <v>1</v>
      </c>
      <c r="O144" s="30">
        <v>0.28999999999999998</v>
      </c>
      <c r="P144" s="30">
        <v>7.3999999999999996E-2</v>
      </c>
      <c r="Q144" s="30">
        <v>0.53300000000000003</v>
      </c>
      <c r="R144" s="30">
        <v>0</v>
      </c>
      <c r="S144" s="30">
        <v>3</v>
      </c>
      <c r="T144" s="30">
        <v>0.87</v>
      </c>
      <c r="U144" s="30">
        <v>28</v>
      </c>
      <c r="V144" s="30">
        <v>3.3000000000000002E-2</v>
      </c>
      <c r="W144" s="30">
        <v>0.03</v>
      </c>
      <c r="X144" s="30">
        <v>0.3</v>
      </c>
      <c r="Y144" s="30">
        <v>0.11</v>
      </c>
      <c r="Z144" s="30">
        <v>0</v>
      </c>
      <c r="AA144" s="30">
        <v>71</v>
      </c>
      <c r="AB144" s="31">
        <v>1877</v>
      </c>
      <c r="AC144" s="31" t="s">
        <v>1307</v>
      </c>
      <c r="AD144" s="31" t="s">
        <v>221</v>
      </c>
      <c r="AE144" s="31" t="s">
        <v>413</v>
      </c>
      <c r="AF144" s="31" t="s">
        <v>1308</v>
      </c>
      <c r="AG144" s="31" t="s">
        <v>1309</v>
      </c>
      <c r="AH144" s="31" t="s">
        <v>1310</v>
      </c>
      <c r="AI144" s="31" t="s">
        <v>226</v>
      </c>
      <c r="AJ144" s="31" t="s">
        <v>482</v>
      </c>
      <c r="AK144" s="31" t="s">
        <v>157</v>
      </c>
      <c r="AL144" s="31" t="s">
        <v>314</v>
      </c>
      <c r="AM144" s="31"/>
      <c r="AN144" s="31" t="s">
        <v>483</v>
      </c>
      <c r="AO144" s="31" t="s">
        <v>484</v>
      </c>
      <c r="AP144" s="31" t="s">
        <v>419</v>
      </c>
      <c r="AQ144" s="31" t="s">
        <v>536</v>
      </c>
      <c r="AR144" s="31">
        <v>17</v>
      </c>
      <c r="AS144" s="31">
        <v>23</v>
      </c>
      <c r="AT144" s="31">
        <v>5</v>
      </c>
      <c r="AU144" s="31">
        <v>28</v>
      </c>
      <c r="AV144" s="31">
        <v>800</v>
      </c>
      <c r="AW144" s="31">
        <v>1200</v>
      </c>
      <c r="AX144" s="31">
        <v>300</v>
      </c>
      <c r="AY144" s="31">
        <v>1700</v>
      </c>
      <c r="AZ144" s="31">
        <v>5.5</v>
      </c>
      <c r="BA144" s="31">
        <v>6.5</v>
      </c>
      <c r="BB144" s="31">
        <v>4.5</v>
      </c>
      <c r="BC144" s="31">
        <v>7.8</v>
      </c>
      <c r="BD144" s="31">
        <v>44</v>
      </c>
      <c r="BE144" s="31">
        <v>41</v>
      </c>
      <c r="BF144" s="31">
        <v>64</v>
      </c>
      <c r="BG144" s="31">
        <v>66</v>
      </c>
      <c r="BH144" s="31">
        <v>1500</v>
      </c>
      <c r="BI144" s="31" t="s">
        <v>163</v>
      </c>
      <c r="BJ144" s="31" t="s">
        <v>164</v>
      </c>
      <c r="BK144" s="31" t="s">
        <v>163</v>
      </c>
      <c r="BL144" s="31" t="s">
        <v>165</v>
      </c>
      <c r="BM144" s="31" t="s">
        <v>288</v>
      </c>
      <c r="BN144" s="31" t="s">
        <v>166</v>
      </c>
      <c r="BO144" s="31" t="s">
        <v>167</v>
      </c>
      <c r="BP144" s="31" t="s">
        <v>250</v>
      </c>
      <c r="BQ144" s="31" t="s">
        <v>169</v>
      </c>
      <c r="BR144" s="31" t="s">
        <v>170</v>
      </c>
      <c r="BS144" s="31"/>
      <c r="BT144" s="31"/>
      <c r="BU144" s="31" t="s">
        <v>171</v>
      </c>
      <c r="BV144" s="31" t="s">
        <v>171</v>
      </c>
      <c r="BW144" s="31" t="s">
        <v>172</v>
      </c>
      <c r="BX144" s="31" t="s">
        <v>172</v>
      </c>
      <c r="BY144" s="31">
        <v>-35</v>
      </c>
      <c r="BZ144" s="31">
        <v>-1</v>
      </c>
      <c r="CA144" s="31" t="s">
        <v>173</v>
      </c>
      <c r="CB144" s="31" t="s">
        <v>524</v>
      </c>
      <c r="CC144" s="31"/>
      <c r="CD144" s="31"/>
      <c r="CE144" s="31"/>
      <c r="CF144" s="31" t="s">
        <v>175</v>
      </c>
      <c r="CG144" s="31">
        <v>120</v>
      </c>
      <c r="CH144" s="31">
        <v>180</v>
      </c>
      <c r="CI144" s="19">
        <v>1.2</v>
      </c>
      <c r="CJ144" s="19">
        <v>2</v>
      </c>
      <c r="CK144" s="19">
        <v>0.5</v>
      </c>
      <c r="CL144" s="19">
        <v>1</v>
      </c>
      <c r="CM144" s="17" t="s">
        <v>1311</v>
      </c>
      <c r="CN144" s="20">
        <v>2</v>
      </c>
      <c r="CO144" s="20">
        <v>12</v>
      </c>
      <c r="CP144" s="17" t="s">
        <v>1312</v>
      </c>
      <c r="CQ144" s="17" t="s">
        <v>178</v>
      </c>
      <c r="CR144" s="21">
        <v>0</v>
      </c>
      <c r="CS144" s="21">
        <v>5</v>
      </c>
      <c r="CT144" s="21">
        <v>8</v>
      </c>
      <c r="CU144" s="21">
        <v>4</v>
      </c>
      <c r="CV144" s="21">
        <v>6</v>
      </c>
      <c r="CW144" s="21">
        <v>15</v>
      </c>
      <c r="CX144" s="21">
        <v>5</v>
      </c>
      <c r="CY144" s="21">
        <v>40</v>
      </c>
      <c r="CZ144" s="21">
        <v>10</v>
      </c>
      <c r="DA144" s="21">
        <v>0</v>
      </c>
      <c r="DB144" s="21">
        <v>80</v>
      </c>
      <c r="DC144" s="21">
        <v>80</v>
      </c>
      <c r="DD144" s="21">
        <v>25</v>
      </c>
      <c r="DE144" s="21">
        <v>40</v>
      </c>
      <c r="DF144" s="21">
        <v>120</v>
      </c>
      <c r="DG144" s="21">
        <v>35</v>
      </c>
      <c r="DH144" s="21">
        <v>600</v>
      </c>
      <c r="DI144" s="21">
        <v>100</v>
      </c>
      <c r="DJ144" s="17" t="s">
        <v>1313</v>
      </c>
      <c r="DK144" s="17" t="s">
        <v>409</v>
      </c>
      <c r="DL144" s="22">
        <v>150</v>
      </c>
      <c r="DM144" s="17" t="s">
        <v>1314</v>
      </c>
      <c r="DN144" s="25" t="s">
        <v>183</v>
      </c>
      <c r="DO144" s="25" t="s">
        <v>183</v>
      </c>
      <c r="DP144" s="24" t="s">
        <v>182</v>
      </c>
      <c r="DQ144" s="23"/>
      <c r="DR144" s="23"/>
      <c r="DS144" s="23"/>
      <c r="DT144" s="23"/>
      <c r="DU144" s="23"/>
      <c r="DV144" s="23"/>
      <c r="DW144" s="23"/>
      <c r="DX144" s="24" t="s">
        <v>182</v>
      </c>
      <c r="DY144" s="25" t="s">
        <v>183</v>
      </c>
      <c r="DZ144" s="17" t="s">
        <v>1315</v>
      </c>
      <c r="EA144" s="17" t="s">
        <v>1316</v>
      </c>
      <c r="EB144" s="52" t="s">
        <v>301</v>
      </c>
      <c r="EC144" s="17" t="s">
        <v>495</v>
      </c>
      <c r="ED144" s="27" t="s">
        <v>1067</v>
      </c>
      <c r="EE144" s="22">
        <v>4</v>
      </c>
      <c r="EF144" s="55" t="s">
        <v>1068</v>
      </c>
    </row>
    <row r="145" spans="1:136" ht="15" customHeight="1" x14ac:dyDescent="0.25">
      <c r="A145" s="16" t="s">
        <v>443</v>
      </c>
      <c r="B145" s="17" t="s">
        <v>409</v>
      </c>
      <c r="C145" s="17" t="s">
        <v>444</v>
      </c>
      <c r="D145" s="18">
        <v>156.1</v>
      </c>
      <c r="E145" s="18">
        <v>1.6</v>
      </c>
      <c r="F145" s="18">
        <v>14.6</v>
      </c>
      <c r="G145" s="18">
        <v>2.2000000000000002</v>
      </c>
      <c r="H145" s="18">
        <v>5.9</v>
      </c>
      <c r="I145" s="18">
        <v>10</v>
      </c>
      <c r="J145" s="18">
        <v>0.44</v>
      </c>
      <c r="K145" s="18">
        <v>27</v>
      </c>
      <c r="L145" s="18">
        <v>51</v>
      </c>
      <c r="M145" s="18">
        <v>503</v>
      </c>
      <c r="N145" s="18">
        <v>8</v>
      </c>
      <c r="O145" s="18">
        <v>0.49</v>
      </c>
      <c r="P145" s="18">
        <v>0.22700000000000001</v>
      </c>
      <c r="Q145" s="18">
        <v>0.183</v>
      </c>
      <c r="R145" s="18">
        <v>0</v>
      </c>
      <c r="S145" s="18">
        <v>12</v>
      </c>
      <c r="T145" s="18">
        <v>1.8</v>
      </c>
      <c r="U145" s="18">
        <v>4</v>
      </c>
      <c r="V145" s="18">
        <v>0.04</v>
      </c>
      <c r="W145" s="18">
        <v>0.03</v>
      </c>
      <c r="X145" s="18">
        <v>1.65</v>
      </c>
      <c r="Y145" s="18">
        <v>0.1</v>
      </c>
      <c r="Z145" s="18">
        <v>0</v>
      </c>
      <c r="AA145" s="18">
        <v>120</v>
      </c>
      <c r="AB145" s="18">
        <v>1659</v>
      </c>
      <c r="AC145" s="18" t="s">
        <v>445</v>
      </c>
      <c r="AD145" s="18" t="s">
        <v>194</v>
      </c>
      <c r="AE145" s="18" t="s">
        <v>446</v>
      </c>
      <c r="AF145" s="18" t="s">
        <v>447</v>
      </c>
      <c r="AG145" s="18" t="s">
        <v>448</v>
      </c>
      <c r="AH145" s="18" t="s">
        <v>449</v>
      </c>
      <c r="AI145" s="18" t="s">
        <v>226</v>
      </c>
      <c r="AJ145" s="18" t="s">
        <v>337</v>
      </c>
      <c r="AK145" s="18" t="s">
        <v>157</v>
      </c>
      <c r="AL145" s="18" t="s">
        <v>314</v>
      </c>
      <c r="AM145" s="18"/>
      <c r="AN145" s="18" t="s">
        <v>450</v>
      </c>
      <c r="AO145" s="18" t="s">
        <v>451</v>
      </c>
      <c r="AP145" s="18" t="s">
        <v>419</v>
      </c>
      <c r="AQ145" s="18" t="s">
        <v>162</v>
      </c>
      <c r="AR145" s="18">
        <v>14</v>
      </c>
      <c r="AS145" s="18">
        <v>40</v>
      </c>
      <c r="AT145" s="18">
        <v>10</v>
      </c>
      <c r="AU145" s="18">
        <v>45</v>
      </c>
      <c r="AV145" s="18">
        <v>500</v>
      </c>
      <c r="AW145" s="18">
        <v>2000</v>
      </c>
      <c r="AX145" s="18">
        <v>300</v>
      </c>
      <c r="AY145" s="18">
        <v>2500</v>
      </c>
      <c r="AZ145" s="18">
        <v>5</v>
      </c>
      <c r="BA145" s="18">
        <v>5.8</v>
      </c>
      <c r="BB145" s="18">
        <v>4.5</v>
      </c>
      <c r="BC145" s="18">
        <v>7</v>
      </c>
      <c r="BD145" s="18"/>
      <c r="BE145" s="18"/>
      <c r="BF145" s="18">
        <v>42</v>
      </c>
      <c r="BG145" s="18">
        <v>42</v>
      </c>
      <c r="BH145" s="18">
        <v>2800</v>
      </c>
      <c r="BI145" s="18" t="s">
        <v>163</v>
      </c>
      <c r="BJ145" s="18" t="s">
        <v>163</v>
      </c>
      <c r="BK145" s="18" t="s">
        <v>164</v>
      </c>
      <c r="BL145" s="18" t="s">
        <v>163</v>
      </c>
      <c r="BM145" s="18" t="s">
        <v>288</v>
      </c>
      <c r="BN145" s="18" t="s">
        <v>288</v>
      </c>
      <c r="BO145" s="18" t="s">
        <v>202</v>
      </c>
      <c r="BP145" s="18" t="s">
        <v>202</v>
      </c>
      <c r="BQ145" s="18" t="s">
        <v>170</v>
      </c>
      <c r="BR145" s="18" t="s">
        <v>170</v>
      </c>
      <c r="BS145" s="18"/>
      <c r="BT145" s="18"/>
      <c r="BU145" s="18" t="s">
        <v>171</v>
      </c>
      <c r="BV145" s="18" t="s">
        <v>171</v>
      </c>
      <c r="BW145" s="18" t="s">
        <v>172</v>
      </c>
      <c r="BX145" s="18" t="s">
        <v>172</v>
      </c>
      <c r="BY145" s="18">
        <v>-4</v>
      </c>
      <c r="BZ145" s="18">
        <v>-1</v>
      </c>
      <c r="CA145" s="18"/>
      <c r="CB145" s="18" t="s">
        <v>342</v>
      </c>
      <c r="CC145" s="18"/>
      <c r="CD145" s="18" t="s">
        <v>452</v>
      </c>
      <c r="CE145" s="18"/>
      <c r="CF145" s="18"/>
      <c r="CG145" s="18">
        <v>0</v>
      </c>
      <c r="CH145" s="18">
        <v>0</v>
      </c>
      <c r="CI145" s="19">
        <v>5</v>
      </c>
      <c r="CJ145" s="19">
        <v>20</v>
      </c>
      <c r="CK145" s="19">
        <v>5</v>
      </c>
      <c r="CL145" s="19">
        <v>12</v>
      </c>
      <c r="CM145" s="17" t="s">
        <v>453</v>
      </c>
      <c r="CN145" s="20">
        <v>3</v>
      </c>
      <c r="CO145" s="20">
        <v>25</v>
      </c>
      <c r="CP145" s="17" t="s">
        <v>454</v>
      </c>
      <c r="CQ145" s="17" t="s">
        <v>209</v>
      </c>
      <c r="CR145" s="21">
        <v>0</v>
      </c>
      <c r="CS145" s="21">
        <v>0</v>
      </c>
      <c r="CT145" s="21">
        <v>8</v>
      </c>
      <c r="CU145" s="21">
        <v>4</v>
      </c>
      <c r="CV145" s="21">
        <v>6</v>
      </c>
      <c r="CW145" s="21">
        <v>10</v>
      </c>
      <c r="CX145" s="21">
        <v>6</v>
      </c>
      <c r="CY145" s="21">
        <v>30</v>
      </c>
      <c r="CZ145" s="21">
        <v>8</v>
      </c>
      <c r="DA145" s="21">
        <v>0</v>
      </c>
      <c r="DB145" s="21">
        <v>0</v>
      </c>
      <c r="DC145" s="21">
        <v>60</v>
      </c>
      <c r="DD145" s="21">
        <v>25</v>
      </c>
      <c r="DE145" s="21">
        <v>35</v>
      </c>
      <c r="DF145" s="21">
        <v>80</v>
      </c>
      <c r="DG145" s="21">
        <v>40</v>
      </c>
      <c r="DH145" s="21">
        <v>400</v>
      </c>
      <c r="DI145" s="21">
        <v>80</v>
      </c>
      <c r="DJ145" s="17" t="s">
        <v>455</v>
      </c>
      <c r="DK145" s="17" t="s">
        <v>409</v>
      </c>
      <c r="DL145" s="22">
        <v>150</v>
      </c>
      <c r="DM145" s="17" t="s">
        <v>456</v>
      </c>
      <c r="DN145" s="23"/>
      <c r="DO145" s="23"/>
      <c r="DP145" s="23"/>
      <c r="DQ145" s="23"/>
      <c r="DR145" s="24" t="s">
        <v>182</v>
      </c>
      <c r="DS145" s="24" t="s">
        <v>182</v>
      </c>
      <c r="DT145" s="25" t="s">
        <v>183</v>
      </c>
      <c r="DU145" s="25" t="s">
        <v>183</v>
      </c>
      <c r="DV145" s="25" t="s">
        <v>183</v>
      </c>
      <c r="DW145" s="25" t="s">
        <v>183</v>
      </c>
      <c r="DX145" s="24" t="s">
        <v>182</v>
      </c>
      <c r="DY145" s="24" t="s">
        <v>182</v>
      </c>
      <c r="DZ145" s="17" t="s">
        <v>457</v>
      </c>
      <c r="EA145" s="17" t="s">
        <v>458</v>
      </c>
      <c r="EB145" s="43" t="s">
        <v>214</v>
      </c>
      <c r="EC145" s="17" t="s">
        <v>459</v>
      </c>
      <c r="ED145" s="27" t="s">
        <v>216</v>
      </c>
      <c r="EE145" s="22">
        <v>3</v>
      </c>
      <c r="EF145" s="54" t="s">
        <v>392</v>
      </c>
    </row>
    <row r="146" spans="1:136" ht="15" customHeight="1" x14ac:dyDescent="0.25">
      <c r="A146" s="16" t="s">
        <v>2292</v>
      </c>
      <c r="B146" s="17" t="s">
        <v>2221</v>
      </c>
      <c r="C146" s="17" t="s">
        <v>2293</v>
      </c>
      <c r="D146" s="18">
        <v>58.8</v>
      </c>
      <c r="E146" s="18">
        <v>1.6</v>
      </c>
      <c r="F146" s="18">
        <v>0.4</v>
      </c>
      <c r="G146" s="18">
        <v>10.1</v>
      </c>
      <c r="H146" s="18">
        <v>4.0999999999999996</v>
      </c>
      <c r="I146" s="18">
        <v>36</v>
      </c>
      <c r="J146" s="18">
        <v>0.28000000000000003</v>
      </c>
      <c r="K146" s="18">
        <v>25</v>
      </c>
      <c r="L146" s="18">
        <v>59</v>
      </c>
      <c r="M146" s="18">
        <v>465</v>
      </c>
      <c r="N146" s="18">
        <v>17</v>
      </c>
      <c r="O146" s="18">
        <v>0.3</v>
      </c>
      <c r="P146" s="18">
        <v>7.3999999999999996E-2</v>
      </c>
      <c r="Q146" s="18">
        <v>0.15</v>
      </c>
      <c r="R146" s="18">
        <v>0</v>
      </c>
      <c r="S146" s="18">
        <v>1</v>
      </c>
      <c r="T146" s="18">
        <v>0.11</v>
      </c>
      <c r="U146" s="18">
        <v>10</v>
      </c>
      <c r="V146" s="18">
        <v>6.5000000000000002E-2</v>
      </c>
      <c r="W146" s="18">
        <v>7.0000000000000007E-2</v>
      </c>
      <c r="X146" s="18">
        <v>1.5</v>
      </c>
      <c r="Y146" s="18">
        <v>0.1</v>
      </c>
      <c r="Z146" s="18">
        <v>0</v>
      </c>
      <c r="AA146" s="18">
        <v>62</v>
      </c>
      <c r="AB146" s="18">
        <v>1642</v>
      </c>
      <c r="AC146" s="18" t="s">
        <v>2294</v>
      </c>
      <c r="AD146" s="18" t="s">
        <v>221</v>
      </c>
      <c r="AE146" s="18" t="s">
        <v>195</v>
      </c>
      <c r="AF146" s="18"/>
      <c r="AG146" s="18" t="s">
        <v>2295</v>
      </c>
      <c r="AH146" s="18" t="s">
        <v>2296</v>
      </c>
      <c r="AI146" s="18" t="s">
        <v>226</v>
      </c>
      <c r="AJ146" s="18" t="s">
        <v>156</v>
      </c>
      <c r="AK146" s="18" t="s">
        <v>1357</v>
      </c>
      <c r="AL146" s="18" t="s">
        <v>158</v>
      </c>
      <c r="AM146" s="18" t="s">
        <v>159</v>
      </c>
      <c r="AN146" s="18" t="s">
        <v>160</v>
      </c>
      <c r="AO146" s="18" t="s">
        <v>161</v>
      </c>
      <c r="AP146" s="18" t="s">
        <v>161</v>
      </c>
      <c r="AQ146" s="18" t="s">
        <v>362</v>
      </c>
      <c r="AR146" s="18">
        <v>15</v>
      </c>
      <c r="AS146" s="18">
        <v>21</v>
      </c>
      <c r="AT146" s="18">
        <v>5</v>
      </c>
      <c r="AU146" s="18">
        <v>25</v>
      </c>
      <c r="AV146" s="18">
        <v>500</v>
      </c>
      <c r="AW146" s="18">
        <v>800</v>
      </c>
      <c r="AX146" s="18">
        <v>300</v>
      </c>
      <c r="AY146" s="18">
        <v>1100</v>
      </c>
      <c r="AZ146" s="18">
        <v>6</v>
      </c>
      <c r="BA146" s="18">
        <v>6.8</v>
      </c>
      <c r="BB146" s="18">
        <v>5.8</v>
      </c>
      <c r="BC146" s="18">
        <v>8.3000000000000007</v>
      </c>
      <c r="BD146" s="18">
        <v>37</v>
      </c>
      <c r="BE146" s="18">
        <v>35</v>
      </c>
      <c r="BF146" s="18">
        <v>60</v>
      </c>
      <c r="BG146" s="18">
        <v>62</v>
      </c>
      <c r="BH146" s="18">
        <v>1500</v>
      </c>
      <c r="BI146" s="18" t="s">
        <v>163</v>
      </c>
      <c r="BJ146" s="18" t="s">
        <v>164</v>
      </c>
      <c r="BK146" s="18" t="s">
        <v>163</v>
      </c>
      <c r="BL146" s="18" t="s">
        <v>165</v>
      </c>
      <c r="BM146" s="18" t="s">
        <v>288</v>
      </c>
      <c r="BN146" s="18" t="s">
        <v>166</v>
      </c>
      <c r="BO146" s="18" t="s">
        <v>202</v>
      </c>
      <c r="BP146" s="18" t="s">
        <v>203</v>
      </c>
      <c r="BQ146" s="18" t="s">
        <v>169</v>
      </c>
      <c r="BR146" s="18" t="s">
        <v>170</v>
      </c>
      <c r="BS146" s="18"/>
      <c r="BT146" s="18"/>
      <c r="BU146" s="18" t="s">
        <v>171</v>
      </c>
      <c r="BV146" s="18" t="s">
        <v>171</v>
      </c>
      <c r="BW146" s="18" t="s">
        <v>172</v>
      </c>
      <c r="BX146" s="18" t="s">
        <v>172</v>
      </c>
      <c r="BY146" s="18">
        <v>-5</v>
      </c>
      <c r="BZ146" s="18">
        <v>-1</v>
      </c>
      <c r="CA146" s="18" t="s">
        <v>173</v>
      </c>
      <c r="CB146" s="18" t="s">
        <v>688</v>
      </c>
      <c r="CC146" s="18"/>
      <c r="CD146" s="18"/>
      <c r="CE146" s="18"/>
      <c r="CF146" s="18" t="s">
        <v>175</v>
      </c>
      <c r="CG146" s="18">
        <v>80</v>
      </c>
      <c r="CH146" s="18">
        <v>150</v>
      </c>
      <c r="CI146" s="19">
        <v>0.3</v>
      </c>
      <c r="CJ146" s="19">
        <v>0.9</v>
      </c>
      <c r="CK146" s="19">
        <v>0.2</v>
      </c>
      <c r="CL146" s="19">
        <v>0.4</v>
      </c>
      <c r="CM146" s="17" t="s">
        <v>2285</v>
      </c>
      <c r="CN146" s="20">
        <v>20</v>
      </c>
      <c r="CO146" s="20">
        <v>60</v>
      </c>
      <c r="CP146" s="17" t="s">
        <v>2297</v>
      </c>
      <c r="CQ146" s="17" t="s">
        <v>1924</v>
      </c>
      <c r="CR146" s="21">
        <v>5</v>
      </c>
      <c r="CS146" s="21">
        <v>2</v>
      </c>
      <c r="CT146" s="21">
        <v>8</v>
      </c>
      <c r="CU146" s="21">
        <v>3</v>
      </c>
      <c r="CV146" s="21">
        <v>3</v>
      </c>
      <c r="CW146" s="21">
        <v>0</v>
      </c>
      <c r="CX146" s="21">
        <v>3</v>
      </c>
      <c r="CY146" s="21">
        <v>8</v>
      </c>
      <c r="CZ146" s="21">
        <v>6</v>
      </c>
      <c r="DA146" s="21">
        <v>140</v>
      </c>
      <c r="DB146" s="21">
        <v>60</v>
      </c>
      <c r="DC146" s="21">
        <v>250</v>
      </c>
      <c r="DD146" s="21">
        <v>25</v>
      </c>
      <c r="DE146" s="21">
        <v>20</v>
      </c>
      <c r="DF146" s="21">
        <v>0</v>
      </c>
      <c r="DG146" s="21">
        <v>30</v>
      </c>
      <c r="DH146" s="21">
        <v>280</v>
      </c>
      <c r="DI146" s="21">
        <v>120</v>
      </c>
      <c r="DJ146" s="17" t="s">
        <v>527</v>
      </c>
      <c r="DK146" s="17" t="s">
        <v>180</v>
      </c>
      <c r="DL146" s="22">
        <v>75</v>
      </c>
      <c r="DM146" s="17" t="s">
        <v>2298</v>
      </c>
      <c r="DN146" s="23"/>
      <c r="DO146" s="23"/>
      <c r="DP146" s="23"/>
      <c r="DQ146" s="23"/>
      <c r="DR146" s="24" t="s">
        <v>182</v>
      </c>
      <c r="DS146" s="25" t="s">
        <v>183</v>
      </c>
      <c r="DT146" s="25" t="s">
        <v>183</v>
      </c>
      <c r="DU146" s="25" t="s">
        <v>183</v>
      </c>
      <c r="DV146" s="25" t="s">
        <v>183</v>
      </c>
      <c r="DW146" s="24" t="s">
        <v>182</v>
      </c>
      <c r="DX146" s="23"/>
      <c r="DY146" s="23"/>
      <c r="DZ146" s="17" t="s">
        <v>2299</v>
      </c>
      <c r="EA146" s="17" t="s">
        <v>2300</v>
      </c>
      <c r="EB146" s="48" t="s">
        <v>239</v>
      </c>
      <c r="EC146" s="17" t="s">
        <v>2259</v>
      </c>
      <c r="ED146" s="27" t="s">
        <v>1166</v>
      </c>
      <c r="EE146" s="22">
        <v>1</v>
      </c>
      <c r="EF146" s="49" t="s">
        <v>1166</v>
      </c>
    </row>
    <row r="147" spans="1:136" ht="15" customHeight="1" x14ac:dyDescent="0.25">
      <c r="A147" s="16" t="s">
        <v>2501</v>
      </c>
      <c r="B147" s="17" t="s">
        <v>2502</v>
      </c>
      <c r="C147" s="17" t="s">
        <v>2503</v>
      </c>
      <c r="D147" s="18">
        <v>21</v>
      </c>
      <c r="E147" s="18">
        <v>2.5</v>
      </c>
      <c r="F147" s="18">
        <v>0.1</v>
      </c>
      <c r="G147" s="18">
        <v>1.4</v>
      </c>
      <c r="H147" s="18">
        <v>2.2000000000000002</v>
      </c>
      <c r="I147" s="18">
        <v>11</v>
      </c>
      <c r="J147" s="18">
        <v>1</v>
      </c>
      <c r="K147" s="18">
        <v>15</v>
      </c>
      <c r="L147" s="18">
        <v>43</v>
      </c>
      <c r="M147" s="18">
        <v>320</v>
      </c>
      <c r="N147" s="18">
        <v>2</v>
      </c>
      <c r="O147" s="18">
        <v>0.2</v>
      </c>
      <c r="P147" s="18">
        <v>7.0000000000000007E-2</v>
      </c>
      <c r="Q147" s="18">
        <v>0.19</v>
      </c>
      <c r="R147" s="18">
        <v>0</v>
      </c>
      <c r="S147" s="18">
        <v>26</v>
      </c>
      <c r="T147" s="18">
        <v>0.52</v>
      </c>
      <c r="U147" s="18">
        <v>15</v>
      </c>
      <c r="V147" s="18">
        <v>0.15</v>
      </c>
      <c r="W147" s="18">
        <v>0.12</v>
      </c>
      <c r="X147" s="18">
        <v>1</v>
      </c>
      <c r="Y147" s="18">
        <v>0.1</v>
      </c>
      <c r="Z147" s="18">
        <v>0</v>
      </c>
      <c r="AA147" s="18">
        <v>99</v>
      </c>
      <c r="AB147" s="18">
        <v>468</v>
      </c>
      <c r="AC147" s="18" t="s">
        <v>2504</v>
      </c>
      <c r="AD147" s="18" t="s">
        <v>221</v>
      </c>
      <c r="AE147" s="18" t="s">
        <v>2505</v>
      </c>
      <c r="AF147" s="18" t="s">
        <v>2506</v>
      </c>
      <c r="AG147" s="18" t="s">
        <v>2507</v>
      </c>
      <c r="AH147" s="18" t="s">
        <v>2508</v>
      </c>
      <c r="AI147" s="18" t="s">
        <v>226</v>
      </c>
      <c r="AJ147" s="18" t="s">
        <v>156</v>
      </c>
      <c r="AK147" s="18" t="s">
        <v>157</v>
      </c>
      <c r="AL147" s="18" t="s">
        <v>314</v>
      </c>
      <c r="AM147" s="18"/>
      <c r="AN147" s="18" t="s">
        <v>506</v>
      </c>
      <c r="AO147" s="18" t="s">
        <v>228</v>
      </c>
      <c r="AP147" s="18" t="s">
        <v>161</v>
      </c>
      <c r="AQ147" s="18" t="s">
        <v>162</v>
      </c>
      <c r="AR147" s="18">
        <v>15</v>
      </c>
      <c r="AS147" s="18">
        <v>30</v>
      </c>
      <c r="AT147" s="18">
        <v>6</v>
      </c>
      <c r="AU147" s="18">
        <v>38</v>
      </c>
      <c r="AV147" s="18">
        <v>800</v>
      </c>
      <c r="AW147" s="18">
        <v>1200</v>
      </c>
      <c r="AX147" s="18">
        <v>500</v>
      </c>
      <c r="AY147" s="18">
        <v>4000</v>
      </c>
      <c r="AZ147" s="18">
        <v>6</v>
      </c>
      <c r="BA147" s="18">
        <v>6.7</v>
      </c>
      <c r="BB147" s="18">
        <v>4.5</v>
      </c>
      <c r="BC147" s="18">
        <v>8.1999999999999993</v>
      </c>
      <c r="BD147" s="18"/>
      <c r="BE147" s="18"/>
      <c r="BF147" s="18">
        <v>60</v>
      </c>
      <c r="BG147" s="18">
        <v>60</v>
      </c>
      <c r="BH147" s="18">
        <v>2600</v>
      </c>
      <c r="BI147" s="18" t="s">
        <v>163</v>
      </c>
      <c r="BJ147" s="18" t="s">
        <v>163</v>
      </c>
      <c r="BK147" s="18" t="s">
        <v>163</v>
      </c>
      <c r="BL147" s="18" t="s">
        <v>165</v>
      </c>
      <c r="BM147" s="18" t="s">
        <v>166</v>
      </c>
      <c r="BN147" s="18" t="s">
        <v>166</v>
      </c>
      <c r="BO147" s="18" t="s">
        <v>167</v>
      </c>
      <c r="BP147" s="18" t="s">
        <v>250</v>
      </c>
      <c r="BQ147" s="18" t="s">
        <v>169</v>
      </c>
      <c r="BR147" s="18" t="s">
        <v>170</v>
      </c>
      <c r="BS147" s="18"/>
      <c r="BT147" s="18"/>
      <c r="BU147" s="18" t="s">
        <v>171</v>
      </c>
      <c r="BV147" s="18" t="s">
        <v>231</v>
      </c>
      <c r="BW147" s="18" t="s">
        <v>172</v>
      </c>
      <c r="BX147" s="18" t="s">
        <v>172</v>
      </c>
      <c r="BY147" s="18">
        <v>-5</v>
      </c>
      <c r="BZ147" s="18">
        <v>-1</v>
      </c>
      <c r="CA147" s="18" t="s">
        <v>173</v>
      </c>
      <c r="CB147" s="18" t="s">
        <v>1358</v>
      </c>
      <c r="CC147" s="18"/>
      <c r="CD147" s="18"/>
      <c r="CE147" s="18"/>
      <c r="CF147" s="18" t="s">
        <v>1529</v>
      </c>
      <c r="CG147" s="18">
        <v>210</v>
      </c>
      <c r="CH147" s="18">
        <v>270</v>
      </c>
      <c r="CI147" s="32">
        <v>0.9</v>
      </c>
      <c r="CJ147" s="32">
        <v>1.8</v>
      </c>
      <c r="CK147" s="32">
        <v>0.3</v>
      </c>
      <c r="CL147" s="32">
        <v>0.6</v>
      </c>
      <c r="CM147" s="33" t="s">
        <v>2509</v>
      </c>
      <c r="CN147" s="34">
        <v>2</v>
      </c>
      <c r="CO147" s="34">
        <v>10</v>
      </c>
      <c r="CP147" s="35" t="s">
        <v>2510</v>
      </c>
      <c r="CQ147" s="35" t="s">
        <v>178</v>
      </c>
      <c r="CR147" s="36">
        <v>15</v>
      </c>
      <c r="CS147" s="36">
        <v>20</v>
      </c>
      <c r="CT147" s="36">
        <v>10</v>
      </c>
      <c r="CU147" s="36">
        <v>4</v>
      </c>
      <c r="CV147" s="36">
        <v>4</v>
      </c>
      <c r="CW147" s="36">
        <v>5</v>
      </c>
      <c r="CX147" s="36">
        <v>5</v>
      </c>
      <c r="CY147" s="36">
        <v>25</v>
      </c>
      <c r="CZ147" s="36">
        <v>15</v>
      </c>
      <c r="DA147" s="37">
        <v>200</v>
      </c>
      <c r="DB147" s="37">
        <v>300</v>
      </c>
      <c r="DC147" s="37">
        <v>200</v>
      </c>
      <c r="DD147" s="37">
        <v>30</v>
      </c>
      <c r="DE147" s="37">
        <v>30</v>
      </c>
      <c r="DF147" s="37">
        <v>60</v>
      </c>
      <c r="DG147" s="37">
        <v>50</v>
      </c>
      <c r="DH147" s="37">
        <v>600</v>
      </c>
      <c r="DI147" s="37">
        <v>300</v>
      </c>
      <c r="DJ147" s="38" t="s">
        <v>2511</v>
      </c>
      <c r="DK147" s="39" t="s">
        <v>180</v>
      </c>
      <c r="DL147" s="40">
        <v>75</v>
      </c>
      <c r="DM147" s="39" t="s">
        <v>2512</v>
      </c>
      <c r="DN147" s="41"/>
      <c r="DO147" s="41"/>
      <c r="DP147" s="41"/>
      <c r="DQ147" s="41"/>
      <c r="DR147" s="41"/>
      <c r="DS147" s="41"/>
      <c r="DT147" s="41"/>
      <c r="DU147" s="24" t="s">
        <v>182</v>
      </c>
      <c r="DV147" s="25" t="s">
        <v>183</v>
      </c>
      <c r="DW147" s="25" t="s">
        <v>183</v>
      </c>
      <c r="DX147" s="25" t="s">
        <v>183</v>
      </c>
      <c r="DY147" s="24" t="s">
        <v>182</v>
      </c>
      <c r="DZ147" s="42" t="s">
        <v>2513</v>
      </c>
      <c r="EA147" s="42" t="s">
        <v>2514</v>
      </c>
      <c r="EB147" s="43" t="s">
        <v>214</v>
      </c>
      <c r="EC147" s="44" t="s">
        <v>2515</v>
      </c>
      <c r="ED147" s="45" t="s">
        <v>371</v>
      </c>
      <c r="EE147" s="46">
        <v>3</v>
      </c>
      <c r="EF147" s="56" t="s">
        <v>741</v>
      </c>
    </row>
    <row r="148" spans="1:136" ht="15" customHeight="1" x14ac:dyDescent="0.25">
      <c r="A148" s="16" t="s">
        <v>1724</v>
      </c>
      <c r="B148" s="29" t="s">
        <v>1700</v>
      </c>
      <c r="C148" s="29" t="s">
        <v>1725</v>
      </c>
      <c r="D148" s="30">
        <v>10.5</v>
      </c>
      <c r="E148" s="30">
        <v>1.1000000000000001</v>
      </c>
      <c r="F148" s="30">
        <v>0</v>
      </c>
      <c r="G148" s="30">
        <v>0.9</v>
      </c>
      <c r="H148" s="30">
        <v>1.1000000000000001</v>
      </c>
      <c r="I148" s="30">
        <v>25</v>
      </c>
      <c r="J148" s="30">
        <v>0.3</v>
      </c>
      <c r="K148" s="30">
        <v>8</v>
      </c>
      <c r="L148" s="30">
        <v>40</v>
      </c>
      <c r="M148" s="30">
        <v>250</v>
      </c>
      <c r="N148" s="30">
        <v>6</v>
      </c>
      <c r="O148" s="30">
        <v>0.2</v>
      </c>
      <c r="P148" s="30"/>
      <c r="Q148" s="30"/>
      <c r="R148" s="30">
        <v>0</v>
      </c>
      <c r="S148" s="30">
        <v>32</v>
      </c>
      <c r="T148" s="30">
        <v>0</v>
      </c>
      <c r="U148" s="30">
        <v>20</v>
      </c>
      <c r="V148" s="30">
        <v>0.03</v>
      </c>
      <c r="W148" s="30">
        <v>0.04</v>
      </c>
      <c r="X148" s="30">
        <v>0.4</v>
      </c>
      <c r="Y148" s="30">
        <v>0.1</v>
      </c>
      <c r="Z148" s="30">
        <v>0</v>
      </c>
      <c r="AA148" s="30">
        <v>170</v>
      </c>
      <c r="AB148" s="31">
        <v>3878</v>
      </c>
      <c r="AC148" s="31" t="s">
        <v>1717</v>
      </c>
      <c r="AD148" s="31" t="s">
        <v>221</v>
      </c>
      <c r="AE148" s="31" t="s">
        <v>152</v>
      </c>
      <c r="AF148" s="31"/>
      <c r="AG148" s="31" t="s">
        <v>1718</v>
      </c>
      <c r="AH148" s="31" t="s">
        <v>1718</v>
      </c>
      <c r="AI148" s="31" t="s">
        <v>155</v>
      </c>
      <c r="AJ148" s="31" t="s">
        <v>156</v>
      </c>
      <c r="AK148" s="31" t="s">
        <v>157</v>
      </c>
      <c r="AL148" s="31" t="s">
        <v>227</v>
      </c>
      <c r="AM148" s="31"/>
      <c r="AN148" s="31" t="s">
        <v>160</v>
      </c>
      <c r="AO148" s="31" t="s">
        <v>161</v>
      </c>
      <c r="AP148" s="31" t="s">
        <v>161</v>
      </c>
      <c r="AQ148" s="31" t="s">
        <v>362</v>
      </c>
      <c r="AR148" s="31">
        <v>20</v>
      </c>
      <c r="AS148" s="31">
        <v>25</v>
      </c>
      <c r="AT148" s="31">
        <v>10</v>
      </c>
      <c r="AU148" s="31">
        <v>32</v>
      </c>
      <c r="AV148" s="31">
        <v>900</v>
      </c>
      <c r="AW148" s="31">
        <v>1400</v>
      </c>
      <c r="AX148" s="31">
        <v>300</v>
      </c>
      <c r="AY148" s="31">
        <v>2000</v>
      </c>
      <c r="AZ148" s="31">
        <v>5.5</v>
      </c>
      <c r="BA148" s="31">
        <v>7</v>
      </c>
      <c r="BB148" s="31">
        <v>5</v>
      </c>
      <c r="BC148" s="31">
        <v>7.5</v>
      </c>
      <c r="BD148" s="31">
        <v>20</v>
      </c>
      <c r="BE148" s="31">
        <v>20</v>
      </c>
      <c r="BF148" s="31">
        <v>40</v>
      </c>
      <c r="BG148" s="31">
        <v>40</v>
      </c>
      <c r="BH148" s="31"/>
      <c r="BI148" s="31" t="s">
        <v>163</v>
      </c>
      <c r="BJ148" s="31" t="s">
        <v>164</v>
      </c>
      <c r="BK148" s="31" t="s">
        <v>163</v>
      </c>
      <c r="BL148" s="31" t="s">
        <v>165</v>
      </c>
      <c r="BM148" s="31" t="s">
        <v>166</v>
      </c>
      <c r="BN148" s="31" t="s">
        <v>201</v>
      </c>
      <c r="BO148" s="31" t="s">
        <v>250</v>
      </c>
      <c r="BP148" s="31" t="s">
        <v>567</v>
      </c>
      <c r="BQ148" s="31" t="s">
        <v>169</v>
      </c>
      <c r="BR148" s="31" t="s">
        <v>170</v>
      </c>
      <c r="BS148" s="31"/>
      <c r="BT148" s="31"/>
      <c r="BU148" s="31" t="s">
        <v>171</v>
      </c>
      <c r="BV148" s="31" t="s">
        <v>171</v>
      </c>
      <c r="BW148" s="31" t="s">
        <v>172</v>
      </c>
      <c r="BX148" s="31" t="s">
        <v>172</v>
      </c>
      <c r="BY148" s="31"/>
      <c r="BZ148" s="31"/>
      <c r="CA148" s="31" t="s">
        <v>173</v>
      </c>
      <c r="CB148" s="31" t="s">
        <v>583</v>
      </c>
      <c r="CC148" s="31"/>
      <c r="CD148" s="31"/>
      <c r="CE148" s="31"/>
      <c r="CF148" s="31"/>
      <c r="CG148" s="31">
        <v>21</v>
      </c>
      <c r="CH148" s="31">
        <v>45</v>
      </c>
      <c r="CI148" s="32">
        <v>0.2</v>
      </c>
      <c r="CJ148" s="32">
        <v>0.6</v>
      </c>
      <c r="CK148" s="32">
        <v>0.3</v>
      </c>
      <c r="CL148" s="32">
        <v>0.5</v>
      </c>
      <c r="CM148" s="33" t="s">
        <v>363</v>
      </c>
      <c r="CN148" s="34">
        <v>20</v>
      </c>
      <c r="CO148" s="34">
        <v>70</v>
      </c>
      <c r="CP148" s="35" t="s">
        <v>1726</v>
      </c>
      <c r="CQ148" s="35" t="s">
        <v>209</v>
      </c>
      <c r="CR148" s="36">
        <v>4</v>
      </c>
      <c r="CS148" s="36">
        <v>5</v>
      </c>
      <c r="CT148" s="36">
        <v>5</v>
      </c>
      <c r="CU148" s="36">
        <v>3</v>
      </c>
      <c r="CV148" s="36">
        <v>4</v>
      </c>
      <c r="CW148" s="36">
        <v>0</v>
      </c>
      <c r="CX148" s="36">
        <v>4</v>
      </c>
      <c r="CY148" s="36">
        <v>8</v>
      </c>
      <c r="CZ148" s="36">
        <v>5</v>
      </c>
      <c r="DA148" s="37">
        <v>120</v>
      </c>
      <c r="DB148" s="37">
        <v>120</v>
      </c>
      <c r="DC148" s="37">
        <v>170</v>
      </c>
      <c r="DD148" s="37">
        <v>25</v>
      </c>
      <c r="DE148" s="37">
        <v>30</v>
      </c>
      <c r="DF148" s="37">
        <v>0</v>
      </c>
      <c r="DG148" s="37">
        <v>40</v>
      </c>
      <c r="DH148" s="37">
        <v>250</v>
      </c>
      <c r="DI148" s="37">
        <v>80</v>
      </c>
      <c r="DJ148" s="38" t="s">
        <v>1727</v>
      </c>
      <c r="DK148" s="39" t="s">
        <v>180</v>
      </c>
      <c r="DL148" s="40">
        <v>75</v>
      </c>
      <c r="DM148" s="39" t="s">
        <v>1728</v>
      </c>
      <c r="DN148" s="41"/>
      <c r="DO148" s="41"/>
      <c r="DP148" s="24" t="s">
        <v>182</v>
      </c>
      <c r="DQ148" s="25" t="s">
        <v>183</v>
      </c>
      <c r="DR148" s="25" t="s">
        <v>183</v>
      </c>
      <c r="DS148" s="25" t="s">
        <v>183</v>
      </c>
      <c r="DT148" s="25" t="s">
        <v>183</v>
      </c>
      <c r="DU148" s="25" t="s">
        <v>183</v>
      </c>
      <c r="DV148" s="25" t="s">
        <v>183</v>
      </c>
      <c r="DW148" s="24" t="s">
        <v>182</v>
      </c>
      <c r="DX148" s="41"/>
      <c r="DY148" s="41"/>
      <c r="DZ148" s="42" t="s">
        <v>1729</v>
      </c>
      <c r="EA148" s="42" t="s">
        <v>379</v>
      </c>
      <c r="EB148" s="43" t="s">
        <v>214</v>
      </c>
      <c r="EC148" s="44" t="s">
        <v>1730</v>
      </c>
      <c r="ED148" s="45" t="s">
        <v>474</v>
      </c>
      <c r="EE148" s="46">
        <v>4</v>
      </c>
      <c r="EF148" s="47" t="s">
        <v>392</v>
      </c>
    </row>
    <row r="149" spans="1:136" ht="15" customHeight="1" x14ac:dyDescent="0.25">
      <c r="A149" s="16" t="s">
        <v>1744</v>
      </c>
      <c r="B149" s="29" t="s">
        <v>1700</v>
      </c>
      <c r="C149" s="29" t="s">
        <v>1745</v>
      </c>
      <c r="D149" s="30">
        <v>24.1</v>
      </c>
      <c r="E149" s="30">
        <v>1.2</v>
      </c>
      <c r="F149" s="30">
        <v>0</v>
      </c>
      <c r="G149" s="30">
        <v>3.8</v>
      </c>
      <c r="H149" s="30">
        <v>2.2000000000000002</v>
      </c>
      <c r="I149" s="30">
        <v>34</v>
      </c>
      <c r="J149" s="30">
        <v>0.33</v>
      </c>
      <c r="K149" s="30">
        <v>13</v>
      </c>
      <c r="L149" s="30">
        <v>33</v>
      </c>
      <c r="M149" s="30">
        <v>228</v>
      </c>
      <c r="N149" s="30">
        <v>16</v>
      </c>
      <c r="O149" s="30">
        <v>0.17</v>
      </c>
      <c r="P149" s="30">
        <v>1.7000000000000001E-2</v>
      </c>
      <c r="Q149" s="30">
        <v>0.13500000000000001</v>
      </c>
      <c r="R149" s="30">
        <v>0</v>
      </c>
      <c r="S149" s="30">
        <v>1</v>
      </c>
      <c r="T149" s="30">
        <v>0</v>
      </c>
      <c r="U149" s="30">
        <v>38</v>
      </c>
      <c r="V149" s="30">
        <v>0.03</v>
      </c>
      <c r="W149" s="30">
        <v>3.6999999999999998E-2</v>
      </c>
      <c r="X149" s="30">
        <v>0.13</v>
      </c>
      <c r="Y149" s="30">
        <v>0.1</v>
      </c>
      <c r="Z149" s="30">
        <v>0</v>
      </c>
      <c r="AA149" s="30">
        <v>38</v>
      </c>
      <c r="AB149" s="31">
        <v>554</v>
      </c>
      <c r="AC149" s="31" t="s">
        <v>1733</v>
      </c>
      <c r="AD149" s="31" t="s">
        <v>1734</v>
      </c>
      <c r="AE149" s="31" t="s">
        <v>152</v>
      </c>
      <c r="AF149" s="31" t="s">
        <v>1735</v>
      </c>
      <c r="AG149" s="31" t="s">
        <v>1736</v>
      </c>
      <c r="AH149" s="31" t="s">
        <v>1737</v>
      </c>
      <c r="AI149" s="31" t="s">
        <v>155</v>
      </c>
      <c r="AJ149" s="31" t="s">
        <v>156</v>
      </c>
      <c r="AK149" s="31" t="s">
        <v>1357</v>
      </c>
      <c r="AL149" s="31" t="s">
        <v>227</v>
      </c>
      <c r="AM149" s="31"/>
      <c r="AN149" s="31" t="s">
        <v>160</v>
      </c>
      <c r="AO149" s="31" t="s">
        <v>161</v>
      </c>
      <c r="AP149" s="31" t="s">
        <v>161</v>
      </c>
      <c r="AQ149" s="31" t="s">
        <v>362</v>
      </c>
      <c r="AR149" s="31">
        <v>15</v>
      </c>
      <c r="AS149" s="31">
        <v>24</v>
      </c>
      <c r="AT149" s="31">
        <v>7</v>
      </c>
      <c r="AU149" s="31">
        <v>32</v>
      </c>
      <c r="AV149" s="31">
        <v>500</v>
      </c>
      <c r="AW149" s="31">
        <v>1000</v>
      </c>
      <c r="AX149" s="31">
        <v>300</v>
      </c>
      <c r="AY149" s="31">
        <v>2500</v>
      </c>
      <c r="AZ149" s="31">
        <v>6</v>
      </c>
      <c r="BA149" s="31">
        <v>7.5</v>
      </c>
      <c r="BB149" s="31">
        <v>5</v>
      </c>
      <c r="BC149" s="31">
        <v>8.3000000000000007</v>
      </c>
      <c r="BD149" s="31">
        <v>35</v>
      </c>
      <c r="BE149" s="31"/>
      <c r="BF149" s="31">
        <v>55</v>
      </c>
      <c r="BG149" s="31">
        <v>60</v>
      </c>
      <c r="BH149" s="31">
        <v>2000</v>
      </c>
      <c r="BI149" s="31" t="s">
        <v>164</v>
      </c>
      <c r="BJ149" s="31" t="s">
        <v>164</v>
      </c>
      <c r="BK149" s="31" t="s">
        <v>163</v>
      </c>
      <c r="BL149" s="31" t="s">
        <v>317</v>
      </c>
      <c r="BM149" s="31" t="s">
        <v>201</v>
      </c>
      <c r="BN149" s="31" t="s">
        <v>201</v>
      </c>
      <c r="BO149" s="31" t="s">
        <v>167</v>
      </c>
      <c r="BP149" s="31" t="s">
        <v>203</v>
      </c>
      <c r="BQ149" s="31" t="s">
        <v>169</v>
      </c>
      <c r="BR149" s="31" t="s">
        <v>170</v>
      </c>
      <c r="BS149" s="31"/>
      <c r="BT149" s="31"/>
      <c r="BU149" s="31" t="s">
        <v>171</v>
      </c>
      <c r="BV149" s="31" t="s">
        <v>171</v>
      </c>
      <c r="BW149" s="31" t="s">
        <v>172</v>
      </c>
      <c r="BX149" s="31" t="s">
        <v>172</v>
      </c>
      <c r="BY149" s="31">
        <v>-10</v>
      </c>
      <c r="BZ149" s="31">
        <v>-1</v>
      </c>
      <c r="CA149" s="31" t="s">
        <v>1511</v>
      </c>
      <c r="CB149" s="31" t="s">
        <v>790</v>
      </c>
      <c r="CC149" s="31"/>
      <c r="CD149" s="31"/>
      <c r="CE149" s="31"/>
      <c r="CF149" s="31"/>
      <c r="CG149" s="31">
        <v>60</v>
      </c>
      <c r="CH149" s="31">
        <v>200</v>
      </c>
      <c r="CI149" s="32">
        <v>0.3</v>
      </c>
      <c r="CJ149" s="32">
        <v>0.7</v>
      </c>
      <c r="CK149" s="32">
        <v>0.4</v>
      </c>
      <c r="CL149" s="32">
        <v>0.8</v>
      </c>
      <c r="CM149" s="33" t="s">
        <v>1738</v>
      </c>
      <c r="CN149" s="34">
        <v>20</v>
      </c>
      <c r="CO149" s="34">
        <v>80</v>
      </c>
      <c r="CP149" s="35" t="s">
        <v>1746</v>
      </c>
      <c r="CQ149" s="35" t="s">
        <v>209</v>
      </c>
      <c r="CR149" s="36">
        <v>5</v>
      </c>
      <c r="CS149" s="36">
        <v>5</v>
      </c>
      <c r="CT149" s="36">
        <v>6</v>
      </c>
      <c r="CU149" s="36">
        <v>3</v>
      </c>
      <c r="CV149" s="36">
        <v>4</v>
      </c>
      <c r="CW149" s="36">
        <v>0</v>
      </c>
      <c r="CX149" s="36">
        <v>4</v>
      </c>
      <c r="CY149" s="36">
        <v>8</v>
      </c>
      <c r="CZ149" s="36">
        <v>5</v>
      </c>
      <c r="DA149" s="37">
        <v>140</v>
      </c>
      <c r="DB149" s="37">
        <v>120</v>
      </c>
      <c r="DC149" s="37">
        <v>200</v>
      </c>
      <c r="DD149" s="37">
        <v>25</v>
      </c>
      <c r="DE149" s="37">
        <v>30</v>
      </c>
      <c r="DF149" s="37">
        <v>0</v>
      </c>
      <c r="DG149" s="37">
        <v>40</v>
      </c>
      <c r="DH149" s="37">
        <v>280</v>
      </c>
      <c r="DI149" s="37">
        <v>100</v>
      </c>
      <c r="DJ149" s="38" t="s">
        <v>527</v>
      </c>
      <c r="DK149" s="39" t="s">
        <v>180</v>
      </c>
      <c r="DL149" s="40">
        <v>75</v>
      </c>
      <c r="DM149" s="39" t="s">
        <v>1747</v>
      </c>
      <c r="DN149" s="41"/>
      <c r="DO149" s="41"/>
      <c r="DP149" s="41"/>
      <c r="DQ149" s="24" t="s">
        <v>182</v>
      </c>
      <c r="DR149" s="25" t="s">
        <v>183</v>
      </c>
      <c r="DS149" s="25" t="s">
        <v>183</v>
      </c>
      <c r="DT149" s="25" t="s">
        <v>183</v>
      </c>
      <c r="DU149" s="25" t="s">
        <v>183</v>
      </c>
      <c r="DV149" s="25" t="s">
        <v>183</v>
      </c>
      <c r="DW149" s="24" t="s">
        <v>182</v>
      </c>
      <c r="DX149" s="41"/>
      <c r="DY149" s="41"/>
      <c r="DZ149" s="42" t="s">
        <v>1748</v>
      </c>
      <c r="EA149" s="42" t="s">
        <v>379</v>
      </c>
      <c r="EB149" s="48" t="s">
        <v>239</v>
      </c>
      <c r="EC149" s="44" t="s">
        <v>1749</v>
      </c>
      <c r="ED149" s="45" t="s">
        <v>1166</v>
      </c>
      <c r="EE149" s="46">
        <v>3</v>
      </c>
      <c r="EF149" s="50" t="s">
        <v>352</v>
      </c>
    </row>
    <row r="150" spans="1:136" ht="15" customHeight="1" x14ac:dyDescent="0.25">
      <c r="A150" s="16" t="s">
        <v>697</v>
      </c>
      <c r="B150" s="29" t="s">
        <v>409</v>
      </c>
      <c r="C150" s="29" t="s">
        <v>698</v>
      </c>
      <c r="D150" s="30">
        <v>12</v>
      </c>
      <c r="E150" s="30">
        <v>0.4</v>
      </c>
      <c r="F150" s="30">
        <v>0.1</v>
      </c>
      <c r="G150" s="30">
        <v>2.1</v>
      </c>
      <c r="H150" s="30">
        <v>0.6</v>
      </c>
      <c r="I150" s="30">
        <v>13</v>
      </c>
      <c r="J150" s="30">
        <v>0.3</v>
      </c>
      <c r="K150" s="30">
        <v>9</v>
      </c>
      <c r="L150" s="30">
        <v>18</v>
      </c>
      <c r="M150" s="30">
        <v>97</v>
      </c>
      <c r="N150" s="30">
        <v>21</v>
      </c>
      <c r="O150" s="30">
        <v>0.4</v>
      </c>
      <c r="P150" s="30"/>
      <c r="Q150" s="30"/>
      <c r="R150" s="30">
        <v>0</v>
      </c>
      <c r="S150" s="30">
        <v>6</v>
      </c>
      <c r="T150" s="30">
        <v>0</v>
      </c>
      <c r="U150" s="30">
        <v>8</v>
      </c>
      <c r="V150" s="30">
        <v>0.02</v>
      </c>
      <c r="W150" s="30">
        <v>0.01</v>
      </c>
      <c r="X150" s="30">
        <v>0.2</v>
      </c>
      <c r="Y150" s="30">
        <v>0.1</v>
      </c>
      <c r="Z150" s="30">
        <v>0</v>
      </c>
      <c r="AA150" s="30">
        <v>4</v>
      </c>
      <c r="AB150" s="31">
        <v>817</v>
      </c>
      <c r="AC150" s="31" t="s">
        <v>699</v>
      </c>
      <c r="AD150" s="31" t="s">
        <v>221</v>
      </c>
      <c r="AE150" s="31" t="s">
        <v>501</v>
      </c>
      <c r="AF150" s="31"/>
      <c r="AG150" s="31" t="s">
        <v>700</v>
      </c>
      <c r="AH150" s="31" t="s">
        <v>701</v>
      </c>
      <c r="AI150" s="31" t="s">
        <v>155</v>
      </c>
      <c r="AJ150" s="31" t="s">
        <v>156</v>
      </c>
      <c r="AK150" s="31" t="s">
        <v>505</v>
      </c>
      <c r="AL150" s="31" t="s">
        <v>282</v>
      </c>
      <c r="AM150" s="31" t="s">
        <v>283</v>
      </c>
      <c r="AN150" s="31" t="s">
        <v>160</v>
      </c>
      <c r="AO150" s="31" t="s">
        <v>702</v>
      </c>
      <c r="AP150" s="31" t="s">
        <v>419</v>
      </c>
      <c r="AQ150" s="31" t="s">
        <v>162</v>
      </c>
      <c r="AR150" s="31">
        <v>18</v>
      </c>
      <c r="AS150" s="31">
        <v>32</v>
      </c>
      <c r="AT150" s="31">
        <v>6</v>
      </c>
      <c r="AU150" s="31">
        <v>38</v>
      </c>
      <c r="AV150" s="31">
        <v>1000</v>
      </c>
      <c r="AW150" s="31">
        <v>1200</v>
      </c>
      <c r="AX150" s="31">
        <v>400</v>
      </c>
      <c r="AY150" s="31">
        <v>4300</v>
      </c>
      <c r="AZ150" s="31">
        <v>6</v>
      </c>
      <c r="BA150" s="31">
        <v>7.5</v>
      </c>
      <c r="BB150" s="31">
        <v>4.5</v>
      </c>
      <c r="BC150" s="31">
        <v>8.6999999999999993</v>
      </c>
      <c r="BD150" s="31"/>
      <c r="BE150" s="31"/>
      <c r="BF150" s="31">
        <v>40</v>
      </c>
      <c r="BG150" s="31">
        <v>40</v>
      </c>
      <c r="BH150" s="31">
        <v>2000</v>
      </c>
      <c r="BI150" s="31" t="s">
        <v>163</v>
      </c>
      <c r="BJ150" s="31" t="s">
        <v>163</v>
      </c>
      <c r="BK150" s="31" t="s">
        <v>163</v>
      </c>
      <c r="BL150" s="31" t="s">
        <v>164</v>
      </c>
      <c r="BM150" s="31" t="s">
        <v>166</v>
      </c>
      <c r="BN150" s="31" t="s">
        <v>201</v>
      </c>
      <c r="BO150" s="31" t="s">
        <v>167</v>
      </c>
      <c r="BP150" s="31" t="s">
        <v>203</v>
      </c>
      <c r="BQ150" s="31" t="s">
        <v>169</v>
      </c>
      <c r="BR150" s="31" t="s">
        <v>170</v>
      </c>
      <c r="BS150" s="31"/>
      <c r="BT150" s="31"/>
      <c r="BU150" s="31" t="s">
        <v>171</v>
      </c>
      <c r="BV150" s="31" t="s">
        <v>171</v>
      </c>
      <c r="BW150" s="31" t="s">
        <v>172</v>
      </c>
      <c r="BX150" s="31" t="s">
        <v>172</v>
      </c>
      <c r="BY150" s="31"/>
      <c r="BZ150" s="31"/>
      <c r="CA150" s="31" t="s">
        <v>173</v>
      </c>
      <c r="CB150" s="31" t="s">
        <v>232</v>
      </c>
      <c r="CC150" s="31"/>
      <c r="CD150" s="31" t="s">
        <v>252</v>
      </c>
      <c r="CE150" s="31"/>
      <c r="CF150" s="31" t="s">
        <v>703</v>
      </c>
      <c r="CG150" s="31">
        <v>40</v>
      </c>
      <c r="CH150" s="31">
        <v>180</v>
      </c>
      <c r="CI150" s="19">
        <v>0.3</v>
      </c>
      <c r="CJ150" s="19">
        <v>0.5</v>
      </c>
      <c r="CK150" s="19">
        <v>1.5</v>
      </c>
      <c r="CL150" s="19">
        <v>3</v>
      </c>
      <c r="CM150" s="17" t="s">
        <v>704</v>
      </c>
      <c r="CN150" s="20">
        <v>10</v>
      </c>
      <c r="CO150" s="20">
        <v>80</v>
      </c>
      <c r="CP150" s="17" t="s">
        <v>705</v>
      </c>
      <c r="CQ150" s="17" t="s">
        <v>209</v>
      </c>
      <c r="CR150" s="21">
        <v>5</v>
      </c>
      <c r="CS150" s="21">
        <v>5</v>
      </c>
      <c r="CT150" s="21">
        <v>6</v>
      </c>
      <c r="CU150" s="21">
        <v>4</v>
      </c>
      <c r="CV150" s="21">
        <v>5</v>
      </c>
      <c r="CW150" s="21">
        <v>8</v>
      </c>
      <c r="CX150" s="21">
        <v>5</v>
      </c>
      <c r="CY150" s="21">
        <v>20</v>
      </c>
      <c r="CZ150" s="21">
        <v>6</v>
      </c>
      <c r="DA150" s="21">
        <v>140</v>
      </c>
      <c r="DB150" s="21">
        <v>130</v>
      </c>
      <c r="DC150" s="21">
        <v>200</v>
      </c>
      <c r="DD150" s="21">
        <v>30</v>
      </c>
      <c r="DE150" s="21">
        <v>45</v>
      </c>
      <c r="DF150" s="21">
        <v>80</v>
      </c>
      <c r="DG150" s="21">
        <v>50</v>
      </c>
      <c r="DH150" s="21">
        <v>450</v>
      </c>
      <c r="DI150" s="21">
        <v>100</v>
      </c>
      <c r="DJ150" s="17" t="s">
        <v>706</v>
      </c>
      <c r="DK150" s="17" t="s">
        <v>180</v>
      </c>
      <c r="DL150" s="22">
        <v>75</v>
      </c>
      <c r="DM150" s="17" t="s">
        <v>707</v>
      </c>
      <c r="DN150" s="25" t="s">
        <v>183</v>
      </c>
      <c r="DO150" s="25" t="s">
        <v>183</v>
      </c>
      <c r="DP150" s="25" t="s">
        <v>183</v>
      </c>
      <c r="DQ150" s="24" t="s">
        <v>182</v>
      </c>
      <c r="DR150" s="24" t="s">
        <v>182</v>
      </c>
      <c r="DS150" s="23"/>
      <c r="DT150" s="23"/>
      <c r="DU150" s="23"/>
      <c r="DV150" s="23"/>
      <c r="DW150" s="23"/>
      <c r="DX150" s="24" t="s">
        <v>182</v>
      </c>
      <c r="DY150" s="25" t="s">
        <v>183</v>
      </c>
      <c r="DZ150" s="17" t="s">
        <v>708</v>
      </c>
      <c r="EA150" s="17" t="s">
        <v>709</v>
      </c>
      <c r="EB150" s="43" t="s">
        <v>214</v>
      </c>
      <c r="EC150" s="17" t="s">
        <v>710</v>
      </c>
      <c r="ED150" s="27" t="s">
        <v>496</v>
      </c>
      <c r="EE150" s="22">
        <v>4</v>
      </c>
      <c r="EF150" s="54" t="s">
        <v>304</v>
      </c>
    </row>
    <row r="151" spans="1:136" ht="15" customHeight="1" x14ac:dyDescent="0.25">
      <c r="A151" s="16" t="s">
        <v>2570</v>
      </c>
      <c r="B151" s="29" t="s">
        <v>2571</v>
      </c>
      <c r="C151" s="29" t="s">
        <v>2572</v>
      </c>
      <c r="D151" s="30">
        <v>39</v>
      </c>
      <c r="E151" s="30">
        <v>3.7</v>
      </c>
      <c r="F151" s="30">
        <v>0.1</v>
      </c>
      <c r="G151" s="30">
        <v>4.2</v>
      </c>
      <c r="H151" s="30">
        <v>3.3</v>
      </c>
      <c r="I151" s="30">
        <v>25</v>
      </c>
      <c r="J151" s="30">
        <v>0.7</v>
      </c>
      <c r="K151" s="30">
        <v>26</v>
      </c>
      <c r="L151" s="30">
        <v>40</v>
      </c>
      <c r="M151" s="30">
        <v>510</v>
      </c>
      <c r="N151" s="30">
        <v>16</v>
      </c>
      <c r="O151" s="30">
        <v>0.4</v>
      </c>
      <c r="P151" s="30"/>
      <c r="Q151" s="30"/>
      <c r="R151" s="30">
        <v>0</v>
      </c>
      <c r="S151" s="30">
        <v>5</v>
      </c>
      <c r="T151" s="30">
        <v>0</v>
      </c>
      <c r="U151" s="30">
        <v>71</v>
      </c>
      <c r="V151" s="30">
        <v>0.08</v>
      </c>
      <c r="W151" s="30">
        <v>0.05</v>
      </c>
      <c r="X151" s="30">
        <v>0.6</v>
      </c>
      <c r="Y151" s="30">
        <v>0.09</v>
      </c>
      <c r="Z151" s="30">
        <v>0</v>
      </c>
      <c r="AA151" s="30">
        <v>15</v>
      </c>
      <c r="AB151" s="31">
        <v>2220</v>
      </c>
      <c r="AC151" s="31" t="s">
        <v>2573</v>
      </c>
      <c r="AD151" s="31"/>
      <c r="AE151" s="31" t="s">
        <v>152</v>
      </c>
      <c r="AF151" s="31" t="s">
        <v>2574</v>
      </c>
      <c r="AG151" s="31" t="s">
        <v>2570</v>
      </c>
      <c r="AH151" s="31" t="s">
        <v>2570</v>
      </c>
      <c r="AI151" s="31" t="s">
        <v>155</v>
      </c>
      <c r="AJ151" s="31" t="s">
        <v>156</v>
      </c>
      <c r="AK151" s="31" t="s">
        <v>157</v>
      </c>
      <c r="AL151" s="31" t="s">
        <v>158</v>
      </c>
      <c r="AM151" s="31" t="s">
        <v>159</v>
      </c>
      <c r="AN151" s="31" t="s">
        <v>160</v>
      </c>
      <c r="AO151" s="31" t="s">
        <v>161</v>
      </c>
      <c r="AP151" s="31" t="s">
        <v>161</v>
      </c>
      <c r="AQ151" s="31" t="s">
        <v>162</v>
      </c>
      <c r="AR151" s="31">
        <v>12</v>
      </c>
      <c r="AS151" s="31">
        <v>18</v>
      </c>
      <c r="AT151" s="31">
        <v>5</v>
      </c>
      <c r="AU151" s="31">
        <v>25</v>
      </c>
      <c r="AV151" s="31">
        <v>900</v>
      </c>
      <c r="AW151" s="31">
        <v>1300</v>
      </c>
      <c r="AX151" s="31">
        <v>700</v>
      </c>
      <c r="AY151" s="31">
        <v>1700</v>
      </c>
      <c r="AZ151" s="31">
        <v>6</v>
      </c>
      <c r="BA151" s="31">
        <v>6.5</v>
      </c>
      <c r="BB151" s="31">
        <v>5.5</v>
      </c>
      <c r="BC151" s="31">
        <v>8.5</v>
      </c>
      <c r="BD151" s="31"/>
      <c r="BE151" s="31"/>
      <c r="BF151" s="31"/>
      <c r="BG151" s="31"/>
      <c r="BH151" s="31">
        <v>2000</v>
      </c>
      <c r="BI151" s="31" t="s">
        <v>163</v>
      </c>
      <c r="BJ151" s="31" t="s">
        <v>163</v>
      </c>
      <c r="BK151" s="31" t="s">
        <v>163</v>
      </c>
      <c r="BL151" s="31" t="s">
        <v>165</v>
      </c>
      <c r="BM151" s="31" t="s">
        <v>288</v>
      </c>
      <c r="BN151" s="31" t="s">
        <v>166</v>
      </c>
      <c r="BO151" s="31" t="s">
        <v>202</v>
      </c>
      <c r="BP151" s="31" t="s">
        <v>203</v>
      </c>
      <c r="BQ151" s="31" t="s">
        <v>169</v>
      </c>
      <c r="BR151" s="31" t="s">
        <v>170</v>
      </c>
      <c r="BS151" s="31"/>
      <c r="BT151" s="31"/>
      <c r="BU151" s="31" t="s">
        <v>171</v>
      </c>
      <c r="BV151" s="31" t="s">
        <v>171</v>
      </c>
      <c r="BW151" s="31" t="s">
        <v>172</v>
      </c>
      <c r="BX151" s="31" t="s">
        <v>172</v>
      </c>
      <c r="BY151" s="31">
        <v>-2</v>
      </c>
      <c r="BZ151" s="31">
        <v>-1</v>
      </c>
      <c r="CA151" s="31" t="s">
        <v>173</v>
      </c>
      <c r="CB151" s="31" t="s">
        <v>251</v>
      </c>
      <c r="CC151" s="31"/>
      <c r="CD151" s="31"/>
      <c r="CE151" s="31"/>
      <c r="CF151" s="31" t="s">
        <v>175</v>
      </c>
      <c r="CG151" s="31">
        <v>50</v>
      </c>
      <c r="CH151" s="31">
        <v>70</v>
      </c>
      <c r="CI151" s="19">
        <v>0.3</v>
      </c>
      <c r="CJ151" s="19">
        <v>0.7</v>
      </c>
      <c r="CK151" s="19">
        <v>0.3</v>
      </c>
      <c r="CL151" s="19">
        <v>0.5</v>
      </c>
      <c r="CM151" s="17" t="s">
        <v>363</v>
      </c>
      <c r="CN151" s="20">
        <v>15</v>
      </c>
      <c r="CO151" s="20">
        <v>40</v>
      </c>
      <c r="CP151" s="17" t="s">
        <v>2575</v>
      </c>
      <c r="CQ151" s="17" t="s">
        <v>1964</v>
      </c>
      <c r="CR151" s="21">
        <v>4</v>
      </c>
      <c r="CS151" s="21">
        <v>5</v>
      </c>
      <c r="CT151" s="21">
        <v>5</v>
      </c>
      <c r="CU151" s="21">
        <v>2</v>
      </c>
      <c r="CV151" s="21">
        <v>3</v>
      </c>
      <c r="CW151" s="21">
        <v>0</v>
      </c>
      <c r="CX151" s="21">
        <v>3</v>
      </c>
      <c r="CY151" s="21">
        <v>8</v>
      </c>
      <c r="CZ151" s="21">
        <v>5</v>
      </c>
      <c r="DA151" s="21">
        <v>120</v>
      </c>
      <c r="DB151" s="21">
        <v>120</v>
      </c>
      <c r="DC151" s="21">
        <v>160</v>
      </c>
      <c r="DD151" s="21">
        <v>20</v>
      </c>
      <c r="DE151" s="21">
        <v>25</v>
      </c>
      <c r="DF151" s="21">
        <v>0</v>
      </c>
      <c r="DG151" s="21">
        <v>30</v>
      </c>
      <c r="DH151" s="21">
        <v>250</v>
      </c>
      <c r="DI151" s="21">
        <v>80</v>
      </c>
      <c r="DJ151" s="17" t="s">
        <v>1624</v>
      </c>
      <c r="DK151" s="17" t="s">
        <v>180</v>
      </c>
      <c r="DL151" s="22">
        <v>75</v>
      </c>
      <c r="DM151" s="17" t="s">
        <v>2576</v>
      </c>
      <c r="DN151" s="23"/>
      <c r="DO151" s="23"/>
      <c r="DP151" s="23"/>
      <c r="DQ151" s="24" t="s">
        <v>182</v>
      </c>
      <c r="DR151" s="25" t="s">
        <v>183</v>
      </c>
      <c r="DS151" s="25" t="s">
        <v>183</v>
      </c>
      <c r="DT151" s="25" t="s">
        <v>183</v>
      </c>
      <c r="DU151" s="25" t="s">
        <v>183</v>
      </c>
      <c r="DV151" s="25" t="s">
        <v>183</v>
      </c>
      <c r="DW151" s="24" t="s">
        <v>182</v>
      </c>
      <c r="DX151" s="23"/>
      <c r="DY151" s="23"/>
      <c r="DZ151" s="17" t="s">
        <v>2577</v>
      </c>
      <c r="EA151" s="17" t="s">
        <v>2578</v>
      </c>
      <c r="EB151" s="48" t="s">
        <v>239</v>
      </c>
      <c r="EC151" s="17" t="s">
        <v>2291</v>
      </c>
      <c r="ED151" s="27" t="s">
        <v>327</v>
      </c>
      <c r="EE151" s="22">
        <v>1</v>
      </c>
      <c r="EF151" s="28" t="s">
        <v>757</v>
      </c>
    </row>
    <row r="152" spans="1:136" ht="15" customHeight="1" x14ac:dyDescent="0.25">
      <c r="A152" s="16" t="s">
        <v>2233</v>
      </c>
      <c r="B152" s="17" t="s">
        <v>2221</v>
      </c>
      <c r="C152" s="17" t="s">
        <v>2234</v>
      </c>
      <c r="D152" s="18">
        <v>55.4</v>
      </c>
      <c r="E152" s="18">
        <v>2</v>
      </c>
      <c r="F152" s="18">
        <v>0.6</v>
      </c>
      <c r="G152" s="18">
        <v>9.4</v>
      </c>
      <c r="H152" s="18">
        <v>3.4</v>
      </c>
      <c r="I152" s="18">
        <v>12</v>
      </c>
      <c r="J152" s="18">
        <v>0.66</v>
      </c>
      <c r="K152" s="18">
        <v>26</v>
      </c>
      <c r="L152" s="18">
        <v>36</v>
      </c>
      <c r="M152" s="18">
        <v>305</v>
      </c>
      <c r="N152" s="18">
        <v>32</v>
      </c>
      <c r="O152" s="18">
        <v>0.64</v>
      </c>
      <c r="P152" s="18">
        <v>5.8999999999999997E-2</v>
      </c>
      <c r="Q152" s="18">
        <v>0.37</v>
      </c>
      <c r="R152" s="18">
        <v>0</v>
      </c>
      <c r="S152" s="18">
        <v>1</v>
      </c>
      <c r="T152" s="18">
        <v>0.04</v>
      </c>
      <c r="U152" s="18">
        <v>3</v>
      </c>
      <c r="V152" s="18">
        <v>2.5000000000000001E-2</v>
      </c>
      <c r="W152" s="18">
        <v>0.03</v>
      </c>
      <c r="X152" s="18">
        <v>0.2</v>
      </c>
      <c r="Y152" s="18">
        <v>0.09</v>
      </c>
      <c r="Z152" s="18">
        <v>0</v>
      </c>
      <c r="AA152" s="18">
        <v>84</v>
      </c>
      <c r="AB152" s="18">
        <v>48742</v>
      </c>
      <c r="AC152" s="18" t="s">
        <v>2235</v>
      </c>
      <c r="AD152" s="18" t="s">
        <v>2236</v>
      </c>
      <c r="AE152" s="18" t="s">
        <v>1567</v>
      </c>
      <c r="AF152" s="18"/>
      <c r="AG152" s="18" t="s">
        <v>2237</v>
      </c>
      <c r="AH152" s="18" t="s">
        <v>2238</v>
      </c>
      <c r="AI152" s="18" t="s">
        <v>155</v>
      </c>
      <c r="AJ152" s="18" t="s">
        <v>156</v>
      </c>
      <c r="AK152" s="18" t="s">
        <v>687</v>
      </c>
      <c r="AL152" s="18" t="s">
        <v>227</v>
      </c>
      <c r="AM152" s="18"/>
      <c r="AN152" s="18" t="s">
        <v>417</v>
      </c>
      <c r="AO152" s="18" t="s">
        <v>316</v>
      </c>
      <c r="AP152" s="18" t="s">
        <v>316</v>
      </c>
      <c r="AQ152" s="18" t="s">
        <v>162</v>
      </c>
      <c r="AR152" s="18">
        <v>15</v>
      </c>
      <c r="AS152" s="18">
        <v>25</v>
      </c>
      <c r="AT152" s="18">
        <v>7</v>
      </c>
      <c r="AU152" s="18">
        <v>30</v>
      </c>
      <c r="AV152" s="18">
        <v>400</v>
      </c>
      <c r="AW152" s="18">
        <v>700</v>
      </c>
      <c r="AX152" s="18">
        <v>250</v>
      </c>
      <c r="AY152" s="18">
        <v>1000</v>
      </c>
      <c r="AZ152" s="18">
        <v>6</v>
      </c>
      <c r="BA152" s="18">
        <v>6.8</v>
      </c>
      <c r="BB152" s="18">
        <v>5.5</v>
      </c>
      <c r="BC152" s="18">
        <v>8.5</v>
      </c>
      <c r="BD152" s="18">
        <v>30</v>
      </c>
      <c r="BE152" s="18">
        <v>30</v>
      </c>
      <c r="BF152" s="18">
        <v>60</v>
      </c>
      <c r="BG152" s="18">
        <v>60</v>
      </c>
      <c r="BH152" s="18">
        <v>2100</v>
      </c>
      <c r="BI152" s="18" t="s">
        <v>165</v>
      </c>
      <c r="BJ152" s="18" t="s">
        <v>164</v>
      </c>
      <c r="BK152" s="18" t="s">
        <v>317</v>
      </c>
      <c r="BL152" s="18" t="s">
        <v>164</v>
      </c>
      <c r="BM152" s="18" t="s">
        <v>288</v>
      </c>
      <c r="BN152" s="18" t="s">
        <v>166</v>
      </c>
      <c r="BO152" s="18" t="s">
        <v>167</v>
      </c>
      <c r="BP152" s="18" t="s">
        <v>2239</v>
      </c>
      <c r="BQ152" s="18" t="s">
        <v>169</v>
      </c>
      <c r="BR152" s="18" t="s">
        <v>170</v>
      </c>
      <c r="BS152" s="18" t="s">
        <v>2240</v>
      </c>
      <c r="BT152" s="18" t="s">
        <v>2241</v>
      </c>
      <c r="BU152" s="18" t="s">
        <v>231</v>
      </c>
      <c r="BV152" s="18" t="s">
        <v>748</v>
      </c>
      <c r="BW152" s="18" t="s">
        <v>172</v>
      </c>
      <c r="BX152" s="18"/>
      <c r="BY152" s="18">
        <v>-3</v>
      </c>
      <c r="BZ152" s="18">
        <v>-1</v>
      </c>
      <c r="CA152" s="18" t="s">
        <v>204</v>
      </c>
      <c r="CB152" s="18" t="s">
        <v>2242</v>
      </c>
      <c r="CC152" s="18"/>
      <c r="CD152" s="18"/>
      <c r="CE152" s="18"/>
      <c r="CF152" s="18" t="s">
        <v>850</v>
      </c>
      <c r="CG152" s="18">
        <v>60</v>
      </c>
      <c r="CH152" s="18">
        <v>140</v>
      </c>
      <c r="CI152" s="19">
        <v>0.3</v>
      </c>
      <c r="CJ152" s="19">
        <v>0.6</v>
      </c>
      <c r="CK152" s="19">
        <v>0.2</v>
      </c>
      <c r="CL152" s="19">
        <v>0.4</v>
      </c>
      <c r="CM152" s="17" t="s">
        <v>2243</v>
      </c>
      <c r="CN152" s="20">
        <v>20</v>
      </c>
      <c r="CO152" s="20">
        <v>70</v>
      </c>
      <c r="CP152" s="17" t="s">
        <v>2244</v>
      </c>
      <c r="CQ152" s="17" t="s">
        <v>178</v>
      </c>
      <c r="CR152" s="21">
        <v>4</v>
      </c>
      <c r="CS152" s="21">
        <v>3</v>
      </c>
      <c r="CT152" s="21">
        <v>6</v>
      </c>
      <c r="CU152" s="21">
        <v>2</v>
      </c>
      <c r="CV152" s="21">
        <v>3</v>
      </c>
      <c r="CW152" s="21">
        <v>0</v>
      </c>
      <c r="CX152" s="21">
        <v>3</v>
      </c>
      <c r="CY152" s="21">
        <v>6</v>
      </c>
      <c r="CZ152" s="21">
        <v>4</v>
      </c>
      <c r="DA152" s="21">
        <v>130</v>
      </c>
      <c r="DB152" s="21">
        <v>70</v>
      </c>
      <c r="DC152" s="21">
        <v>180</v>
      </c>
      <c r="DD152" s="21">
        <v>20</v>
      </c>
      <c r="DE152" s="21">
        <v>20</v>
      </c>
      <c r="DF152" s="21">
        <v>0</v>
      </c>
      <c r="DG152" s="21">
        <v>30</v>
      </c>
      <c r="DH152" s="21">
        <v>250</v>
      </c>
      <c r="DI152" s="21">
        <v>80</v>
      </c>
      <c r="DJ152" s="17" t="s">
        <v>527</v>
      </c>
      <c r="DK152" s="17" t="s">
        <v>180</v>
      </c>
      <c r="DL152" s="22">
        <v>75</v>
      </c>
      <c r="DM152" s="17" t="s">
        <v>2245</v>
      </c>
      <c r="DN152" s="23"/>
      <c r="DO152" s="23"/>
      <c r="DP152" s="23"/>
      <c r="DQ152" s="24" t="s">
        <v>182</v>
      </c>
      <c r="DR152" s="25" t="s">
        <v>183</v>
      </c>
      <c r="DS152" s="25" t="s">
        <v>183</v>
      </c>
      <c r="DT152" s="25" t="s">
        <v>183</v>
      </c>
      <c r="DU152" s="25" t="s">
        <v>183</v>
      </c>
      <c r="DV152" s="25" t="s">
        <v>183</v>
      </c>
      <c r="DW152" s="24" t="s">
        <v>182</v>
      </c>
      <c r="DX152" s="24" t="s">
        <v>182</v>
      </c>
      <c r="DY152" s="23"/>
      <c r="DZ152" s="17" t="s">
        <v>2246</v>
      </c>
      <c r="EA152" s="17" t="s">
        <v>590</v>
      </c>
      <c r="EB152" s="48" t="s">
        <v>239</v>
      </c>
      <c r="EC152" s="17" t="s">
        <v>2247</v>
      </c>
      <c r="ED152" s="27" t="s">
        <v>1166</v>
      </c>
      <c r="EE152" s="22">
        <v>3</v>
      </c>
      <c r="EF152" s="49" t="s">
        <v>1166</v>
      </c>
    </row>
    <row r="153" spans="1:136" ht="15" customHeight="1" x14ac:dyDescent="0.25">
      <c r="A153" s="16" t="s">
        <v>1126</v>
      </c>
      <c r="B153" s="17" t="s">
        <v>409</v>
      </c>
      <c r="C153" s="17" t="s">
        <v>1127</v>
      </c>
      <c r="D153" s="18">
        <v>39.9</v>
      </c>
      <c r="E153" s="18">
        <v>0.4</v>
      </c>
      <c r="F153" s="18">
        <v>0</v>
      </c>
      <c r="G153" s="18">
        <v>8.4</v>
      </c>
      <c r="H153" s="18">
        <v>2.1</v>
      </c>
      <c r="I153" s="18">
        <v>22</v>
      </c>
      <c r="J153" s="18">
        <v>0.25</v>
      </c>
      <c r="K153" s="18">
        <v>16</v>
      </c>
      <c r="L153" s="18">
        <v>14</v>
      </c>
      <c r="M153" s="18">
        <v>190</v>
      </c>
      <c r="N153" s="18">
        <v>4</v>
      </c>
      <c r="O153" s="18">
        <v>0.16</v>
      </c>
      <c r="P153" s="18">
        <v>2.3E-2</v>
      </c>
      <c r="Q153" s="18">
        <v>0.06</v>
      </c>
      <c r="R153" s="18">
        <v>0</v>
      </c>
      <c r="S153" s="18">
        <v>1</v>
      </c>
      <c r="T153" s="18">
        <v>0.02</v>
      </c>
      <c r="U153" s="18">
        <v>67</v>
      </c>
      <c r="V153" s="18">
        <v>0.03</v>
      </c>
      <c r="W153" s="18">
        <v>0.03</v>
      </c>
      <c r="X153" s="18">
        <v>0.15</v>
      </c>
      <c r="Y153" s="18">
        <v>0.09</v>
      </c>
      <c r="Z153" s="18">
        <v>0</v>
      </c>
      <c r="AA153" s="18">
        <v>73</v>
      </c>
      <c r="AB153" s="18">
        <v>630</v>
      </c>
      <c r="AC153" s="18" t="s">
        <v>1128</v>
      </c>
      <c r="AD153" s="18" t="s">
        <v>221</v>
      </c>
      <c r="AE153" s="18" t="s">
        <v>1129</v>
      </c>
      <c r="AF153" s="18" t="s">
        <v>1130</v>
      </c>
      <c r="AG153" s="18" t="s">
        <v>1131</v>
      </c>
      <c r="AH153" s="18" t="s">
        <v>1132</v>
      </c>
      <c r="AI153" s="18" t="s">
        <v>226</v>
      </c>
      <c r="AJ153" s="18" t="s">
        <v>156</v>
      </c>
      <c r="AK153" s="18" t="s">
        <v>157</v>
      </c>
      <c r="AL153" s="18" t="s">
        <v>314</v>
      </c>
      <c r="AM153" s="18"/>
      <c r="AN153" s="18" t="s">
        <v>338</v>
      </c>
      <c r="AO153" s="18" t="s">
        <v>484</v>
      </c>
      <c r="AP153" s="18" t="s">
        <v>419</v>
      </c>
      <c r="AQ153" s="18" t="s">
        <v>287</v>
      </c>
      <c r="AR153" s="18">
        <v>21</v>
      </c>
      <c r="AS153" s="18">
        <v>30</v>
      </c>
      <c r="AT153" s="18">
        <v>12</v>
      </c>
      <c r="AU153" s="18">
        <v>44</v>
      </c>
      <c r="AV153" s="18">
        <v>1500</v>
      </c>
      <c r="AW153" s="18">
        <v>2500</v>
      </c>
      <c r="AX153" s="18">
        <v>1000</v>
      </c>
      <c r="AY153" s="18">
        <v>3000</v>
      </c>
      <c r="AZ153" s="18">
        <v>5.5</v>
      </c>
      <c r="BA153" s="18">
        <v>7</v>
      </c>
      <c r="BB153" s="18">
        <v>4.5</v>
      </c>
      <c r="BC153" s="18">
        <v>8</v>
      </c>
      <c r="BD153" s="18"/>
      <c r="BE153" s="18"/>
      <c r="BF153" s="18">
        <v>30</v>
      </c>
      <c r="BG153" s="18">
        <v>32</v>
      </c>
      <c r="BH153" s="18">
        <v>2100</v>
      </c>
      <c r="BI153" s="18" t="s">
        <v>163</v>
      </c>
      <c r="BJ153" s="18" t="s">
        <v>164</v>
      </c>
      <c r="BK153" s="18" t="s">
        <v>163</v>
      </c>
      <c r="BL153" s="18" t="s">
        <v>165</v>
      </c>
      <c r="BM153" s="18" t="s">
        <v>288</v>
      </c>
      <c r="BN153" s="18" t="s">
        <v>166</v>
      </c>
      <c r="BO153" s="18" t="s">
        <v>167</v>
      </c>
      <c r="BP153" s="18" t="s">
        <v>203</v>
      </c>
      <c r="BQ153" s="18" t="s">
        <v>169</v>
      </c>
      <c r="BR153" s="18" t="s">
        <v>170</v>
      </c>
      <c r="BS153" s="18"/>
      <c r="BT153" s="18"/>
      <c r="BU153" s="18" t="s">
        <v>171</v>
      </c>
      <c r="BV153" s="18" t="s">
        <v>171</v>
      </c>
      <c r="BW153" s="18" t="s">
        <v>172</v>
      </c>
      <c r="BX153" s="18" t="s">
        <v>290</v>
      </c>
      <c r="BY153" s="18">
        <v>-1</v>
      </c>
      <c r="BZ153" s="18">
        <v>-1</v>
      </c>
      <c r="CA153" s="18" t="s">
        <v>173</v>
      </c>
      <c r="CB153" s="18" t="s">
        <v>342</v>
      </c>
      <c r="CC153" s="18"/>
      <c r="CD153" s="18"/>
      <c r="CE153" s="18"/>
      <c r="CF153" s="18" t="s">
        <v>1133</v>
      </c>
      <c r="CG153" s="18">
        <v>330</v>
      </c>
      <c r="CH153" s="18">
        <v>365</v>
      </c>
      <c r="CI153" s="19">
        <v>1.8</v>
      </c>
      <c r="CJ153" s="19">
        <v>6</v>
      </c>
      <c r="CK153" s="19">
        <v>1</v>
      </c>
      <c r="CL153" s="19">
        <v>3</v>
      </c>
      <c r="CM153" s="17" t="s">
        <v>1134</v>
      </c>
      <c r="CN153" s="20">
        <v>20</v>
      </c>
      <c r="CO153" s="20">
        <v>100</v>
      </c>
      <c r="CP153" s="17" t="s">
        <v>1135</v>
      </c>
      <c r="CQ153" s="17" t="s">
        <v>209</v>
      </c>
      <c r="CR153" s="21">
        <v>0</v>
      </c>
      <c r="CS153" s="21">
        <v>0</v>
      </c>
      <c r="CT153" s="21">
        <v>8</v>
      </c>
      <c r="CU153" s="21">
        <v>6</v>
      </c>
      <c r="CV153" s="21">
        <v>8</v>
      </c>
      <c r="CW153" s="21">
        <v>5</v>
      </c>
      <c r="CX153" s="21">
        <v>8</v>
      </c>
      <c r="CY153" s="21">
        <v>20</v>
      </c>
      <c r="CZ153" s="21">
        <v>8</v>
      </c>
      <c r="DA153" s="21">
        <v>0</v>
      </c>
      <c r="DB153" s="21">
        <v>0</v>
      </c>
      <c r="DC153" s="21">
        <v>80</v>
      </c>
      <c r="DD153" s="21">
        <v>40</v>
      </c>
      <c r="DE153" s="21">
        <v>50</v>
      </c>
      <c r="DF153" s="21">
        <v>40</v>
      </c>
      <c r="DG153" s="21">
        <v>60</v>
      </c>
      <c r="DH153" s="21">
        <v>350</v>
      </c>
      <c r="DI153" s="21">
        <v>80</v>
      </c>
      <c r="DJ153" s="17" t="s">
        <v>1136</v>
      </c>
      <c r="DK153" s="17" t="s">
        <v>409</v>
      </c>
      <c r="DL153" s="22">
        <v>150</v>
      </c>
      <c r="DM153" s="17" t="s">
        <v>1137</v>
      </c>
      <c r="DN153" s="24" t="s">
        <v>182</v>
      </c>
      <c r="DO153" s="24" t="s">
        <v>182</v>
      </c>
      <c r="DP153" s="25" t="s">
        <v>183</v>
      </c>
      <c r="DQ153" s="25" t="s">
        <v>183</v>
      </c>
      <c r="DR153" s="25" t="s">
        <v>183</v>
      </c>
      <c r="DS153" s="25" t="s">
        <v>183</v>
      </c>
      <c r="DT153" s="24" t="s">
        <v>182</v>
      </c>
      <c r="DU153" s="24" t="s">
        <v>182</v>
      </c>
      <c r="DV153" s="23"/>
      <c r="DW153" s="23"/>
      <c r="DX153" s="23"/>
      <c r="DY153" s="23"/>
      <c r="DZ153" s="17" t="s">
        <v>1138</v>
      </c>
      <c r="EA153" s="17" t="s">
        <v>1139</v>
      </c>
      <c r="EB153" s="43" t="s">
        <v>214</v>
      </c>
      <c r="EC153" s="17" t="s">
        <v>591</v>
      </c>
      <c r="ED153" s="27" t="s">
        <v>1140</v>
      </c>
      <c r="EE153" s="22">
        <v>3</v>
      </c>
      <c r="EF153" s="54" t="s">
        <v>1141</v>
      </c>
    </row>
    <row r="154" spans="1:136" ht="15" customHeight="1" x14ac:dyDescent="0.25">
      <c r="A154" s="16" t="s">
        <v>1773</v>
      </c>
      <c r="B154" s="29" t="s">
        <v>1700</v>
      </c>
      <c r="C154" s="29" t="s">
        <v>1774</v>
      </c>
      <c r="D154" s="30">
        <v>31.5</v>
      </c>
      <c r="E154" s="30">
        <v>3.1</v>
      </c>
      <c r="F154" s="30">
        <v>0.6</v>
      </c>
      <c r="G154" s="30">
        <v>1.9</v>
      </c>
      <c r="H154" s="30">
        <v>3.2</v>
      </c>
      <c r="I154" s="30">
        <v>86</v>
      </c>
      <c r="J154" s="30">
        <v>4.5</v>
      </c>
      <c r="K154" s="30">
        <v>30</v>
      </c>
      <c r="L154" s="30">
        <v>54</v>
      </c>
      <c r="M154" s="30">
        <v>540</v>
      </c>
      <c r="N154" s="30">
        <v>45</v>
      </c>
      <c r="O154" s="30">
        <v>0.55000000000000004</v>
      </c>
      <c r="P154" s="30">
        <v>0.09</v>
      </c>
      <c r="Q154" s="30">
        <v>0.47</v>
      </c>
      <c r="R154" s="30">
        <v>0</v>
      </c>
      <c r="S154" s="30">
        <v>515</v>
      </c>
      <c r="T154" s="30">
        <v>1.7</v>
      </c>
      <c r="U154" s="30">
        <v>30</v>
      </c>
      <c r="V154" s="30">
        <v>9.5000000000000001E-2</v>
      </c>
      <c r="W154" s="30">
        <v>0.185</v>
      </c>
      <c r="X154" s="30">
        <v>0.2</v>
      </c>
      <c r="Y154" s="30">
        <v>0.08</v>
      </c>
      <c r="Z154" s="30">
        <v>0</v>
      </c>
      <c r="AA154" s="30">
        <v>126</v>
      </c>
      <c r="AB154" s="31">
        <v>784</v>
      </c>
      <c r="AC154" s="31" t="s">
        <v>1775</v>
      </c>
      <c r="AD154" s="31" t="s">
        <v>221</v>
      </c>
      <c r="AE154" s="31" t="s">
        <v>195</v>
      </c>
      <c r="AF154" s="31" t="s">
        <v>1776</v>
      </c>
      <c r="AG154" s="31" t="s">
        <v>1777</v>
      </c>
      <c r="AH154" s="31" t="s">
        <v>1778</v>
      </c>
      <c r="AI154" s="31" t="s">
        <v>155</v>
      </c>
      <c r="AJ154" s="31" t="s">
        <v>156</v>
      </c>
      <c r="AK154" s="31" t="s">
        <v>157</v>
      </c>
      <c r="AL154" s="31" t="s">
        <v>282</v>
      </c>
      <c r="AM154" s="31" t="s">
        <v>159</v>
      </c>
      <c r="AN154" s="31"/>
      <c r="AO154" s="31" t="s">
        <v>200</v>
      </c>
      <c r="AP154" s="31" t="s">
        <v>161</v>
      </c>
      <c r="AQ154" s="31" t="s">
        <v>162</v>
      </c>
      <c r="AR154" s="31">
        <v>15</v>
      </c>
      <c r="AS154" s="31">
        <v>25</v>
      </c>
      <c r="AT154" s="31">
        <v>4</v>
      </c>
      <c r="AU154" s="31">
        <v>32</v>
      </c>
      <c r="AV154" s="31">
        <v>500</v>
      </c>
      <c r="AW154" s="31">
        <v>1400</v>
      </c>
      <c r="AX154" s="31">
        <v>300</v>
      </c>
      <c r="AY154" s="31">
        <v>2600</v>
      </c>
      <c r="AZ154" s="31">
        <v>5.5</v>
      </c>
      <c r="BA154" s="31">
        <v>7.5</v>
      </c>
      <c r="BB154" s="31">
        <v>4</v>
      </c>
      <c r="BC154" s="31">
        <v>8</v>
      </c>
      <c r="BD154" s="31">
        <v>30</v>
      </c>
      <c r="BE154" s="31"/>
      <c r="BF154" s="31">
        <v>50</v>
      </c>
      <c r="BG154" s="31">
        <v>60</v>
      </c>
      <c r="BH154" s="31">
        <v>2200</v>
      </c>
      <c r="BI154" s="31" t="s">
        <v>164</v>
      </c>
      <c r="BJ154" s="31" t="s">
        <v>164</v>
      </c>
      <c r="BK154" s="31" t="s">
        <v>163</v>
      </c>
      <c r="BL154" s="31" t="s">
        <v>165</v>
      </c>
      <c r="BM154" s="31" t="s">
        <v>166</v>
      </c>
      <c r="BN154" s="31" t="s">
        <v>201</v>
      </c>
      <c r="BO154" s="31" t="s">
        <v>202</v>
      </c>
      <c r="BP154" s="31" t="s">
        <v>203</v>
      </c>
      <c r="BQ154" s="31" t="s">
        <v>169</v>
      </c>
      <c r="BR154" s="31" t="s">
        <v>170</v>
      </c>
      <c r="BS154" s="31"/>
      <c r="BT154" s="31"/>
      <c r="BU154" s="31" t="s">
        <v>171</v>
      </c>
      <c r="BV154" s="31" t="s">
        <v>171</v>
      </c>
      <c r="BW154" s="31" t="s">
        <v>172</v>
      </c>
      <c r="BX154" s="31" t="s">
        <v>172</v>
      </c>
      <c r="BY154" s="31">
        <v>-10</v>
      </c>
      <c r="BZ154" s="31">
        <v>0</v>
      </c>
      <c r="CA154" s="31" t="s">
        <v>173</v>
      </c>
      <c r="CB154" s="31" t="s">
        <v>849</v>
      </c>
      <c r="CC154" s="31"/>
      <c r="CD154" s="31"/>
      <c r="CE154" s="31"/>
      <c r="CF154" s="31"/>
      <c r="CG154" s="31">
        <v>35</v>
      </c>
      <c r="CH154" s="31">
        <v>140</v>
      </c>
      <c r="CI154" s="19">
        <v>0.3</v>
      </c>
      <c r="CJ154" s="19">
        <v>0.7</v>
      </c>
      <c r="CK154" s="19">
        <v>0.2</v>
      </c>
      <c r="CL154" s="19">
        <v>0.4</v>
      </c>
      <c r="CM154" s="17" t="s">
        <v>1709</v>
      </c>
      <c r="CN154" s="20">
        <v>3</v>
      </c>
      <c r="CO154" s="20">
        <v>15</v>
      </c>
      <c r="CP154" s="17" t="s">
        <v>1779</v>
      </c>
      <c r="CQ154" s="17" t="s">
        <v>723</v>
      </c>
      <c r="CR154" s="21">
        <v>4</v>
      </c>
      <c r="CS154" s="21">
        <v>2</v>
      </c>
      <c r="CT154" s="21">
        <v>6</v>
      </c>
      <c r="CU154" s="21">
        <v>2</v>
      </c>
      <c r="CV154" s="21">
        <v>3</v>
      </c>
      <c r="CW154" s="21">
        <v>0</v>
      </c>
      <c r="CX154" s="21">
        <v>3</v>
      </c>
      <c r="CY154" s="21">
        <v>15</v>
      </c>
      <c r="CZ154" s="21">
        <v>6</v>
      </c>
      <c r="DA154" s="21">
        <v>120</v>
      </c>
      <c r="DB154" s="21">
        <v>60</v>
      </c>
      <c r="DC154" s="21">
        <v>200</v>
      </c>
      <c r="DD154" s="21">
        <v>20</v>
      </c>
      <c r="DE154" s="21">
        <v>25</v>
      </c>
      <c r="DF154" s="21">
        <v>0</v>
      </c>
      <c r="DG154" s="21">
        <v>30</v>
      </c>
      <c r="DH154" s="21">
        <v>350</v>
      </c>
      <c r="DI154" s="21">
        <v>100</v>
      </c>
      <c r="DJ154" s="17" t="s">
        <v>1780</v>
      </c>
      <c r="DK154" s="17" t="s">
        <v>180</v>
      </c>
      <c r="DL154" s="22">
        <v>75</v>
      </c>
      <c r="DM154" s="17" t="s">
        <v>1781</v>
      </c>
      <c r="DN154" s="23"/>
      <c r="DO154" s="24" t="s">
        <v>182</v>
      </c>
      <c r="DP154" s="25" t="s">
        <v>183</v>
      </c>
      <c r="DQ154" s="25" t="s">
        <v>183</v>
      </c>
      <c r="DR154" s="25" t="s">
        <v>183</v>
      </c>
      <c r="DS154" s="24" t="s">
        <v>182</v>
      </c>
      <c r="DT154" s="24" t="s">
        <v>182</v>
      </c>
      <c r="DU154" s="25" t="s">
        <v>183</v>
      </c>
      <c r="DV154" s="25" t="s">
        <v>183</v>
      </c>
      <c r="DW154" s="25" t="s">
        <v>183</v>
      </c>
      <c r="DX154" s="24" t="s">
        <v>182</v>
      </c>
      <c r="DY154" s="23"/>
      <c r="DZ154" s="17" t="s">
        <v>1782</v>
      </c>
      <c r="EA154" s="17" t="s">
        <v>1783</v>
      </c>
      <c r="EB154" s="43" t="s">
        <v>214</v>
      </c>
      <c r="EC154" s="17" t="s">
        <v>1784</v>
      </c>
      <c r="ED154" s="27" t="s">
        <v>1067</v>
      </c>
      <c r="EE154" s="22">
        <v>2</v>
      </c>
      <c r="EF154" s="54" t="s">
        <v>304</v>
      </c>
    </row>
    <row r="155" spans="1:136" ht="15" customHeight="1" x14ac:dyDescent="0.25">
      <c r="A155" s="16" t="s">
        <v>2159</v>
      </c>
      <c r="B155" s="17" t="s">
        <v>2131</v>
      </c>
      <c r="C155" s="17" t="s">
        <v>2160</v>
      </c>
      <c r="D155" s="18">
        <v>39</v>
      </c>
      <c r="E155" s="18">
        <v>3</v>
      </c>
      <c r="F155" s="18">
        <v>0</v>
      </c>
      <c r="G155" s="18">
        <v>5.6</v>
      </c>
      <c r="H155" s="18">
        <v>2.6</v>
      </c>
      <c r="I155" s="18">
        <v>42</v>
      </c>
      <c r="J155" s="18">
        <v>0.98</v>
      </c>
      <c r="K155" s="18">
        <v>26</v>
      </c>
      <c r="L155" s="18">
        <v>61</v>
      </c>
      <c r="M155" s="18">
        <v>200</v>
      </c>
      <c r="N155" s="18">
        <v>1</v>
      </c>
      <c r="O155" s="18">
        <v>0.46</v>
      </c>
      <c r="P155" s="18">
        <v>7.3999999999999996E-2</v>
      </c>
      <c r="Q155" s="18">
        <v>0.23</v>
      </c>
      <c r="R155" s="18">
        <v>0</v>
      </c>
      <c r="S155" s="18">
        <v>16</v>
      </c>
      <c r="T155" s="18">
        <v>0.3</v>
      </c>
      <c r="U155" s="18">
        <v>48</v>
      </c>
      <c r="V155" s="18">
        <v>0.13</v>
      </c>
      <c r="W155" s="18">
        <v>0.08</v>
      </c>
      <c r="X155" s="18">
        <v>0</v>
      </c>
      <c r="Y155" s="18">
        <v>0.08</v>
      </c>
      <c r="Z155" s="18">
        <v>0</v>
      </c>
      <c r="AA155" s="18">
        <v>75</v>
      </c>
      <c r="AB155" s="18">
        <v>1721</v>
      </c>
      <c r="AC155" s="18" t="s">
        <v>2161</v>
      </c>
      <c r="AD155" s="18" t="s">
        <v>221</v>
      </c>
      <c r="AE155" s="18" t="s">
        <v>2062</v>
      </c>
      <c r="AF155" s="18"/>
      <c r="AG155" s="18" t="s">
        <v>2162</v>
      </c>
      <c r="AH155" s="18" t="s">
        <v>2163</v>
      </c>
      <c r="AI155" s="18" t="s">
        <v>155</v>
      </c>
      <c r="AJ155" s="18" t="s">
        <v>156</v>
      </c>
      <c r="AK155" s="18" t="s">
        <v>2164</v>
      </c>
      <c r="AL155" s="18" t="s">
        <v>282</v>
      </c>
      <c r="AM155" s="18" t="s">
        <v>159</v>
      </c>
      <c r="AN155" s="18" t="s">
        <v>160</v>
      </c>
      <c r="AO155" s="18" t="s">
        <v>2165</v>
      </c>
      <c r="AP155" s="18" t="s">
        <v>2066</v>
      </c>
      <c r="AQ155" s="18" t="s">
        <v>162</v>
      </c>
      <c r="AR155" s="18">
        <v>10</v>
      </c>
      <c r="AS155" s="18">
        <v>24</v>
      </c>
      <c r="AT155" s="18">
        <v>4</v>
      </c>
      <c r="AU155" s="18">
        <v>30</v>
      </c>
      <c r="AV155" s="18">
        <v>800</v>
      </c>
      <c r="AW155" s="18">
        <v>1200</v>
      </c>
      <c r="AX155" s="18">
        <v>350</v>
      </c>
      <c r="AY155" s="18">
        <v>2500</v>
      </c>
      <c r="AZ155" s="18">
        <v>5.5</v>
      </c>
      <c r="BA155" s="18">
        <v>7</v>
      </c>
      <c r="BB155" s="18">
        <v>4.5</v>
      </c>
      <c r="BC155" s="18">
        <v>8.3000000000000007</v>
      </c>
      <c r="BD155" s="18"/>
      <c r="BE155" s="18"/>
      <c r="BF155" s="18">
        <v>60</v>
      </c>
      <c r="BG155" s="18">
        <v>70</v>
      </c>
      <c r="BH155" s="18">
        <v>2700</v>
      </c>
      <c r="BI155" s="18" t="s">
        <v>163</v>
      </c>
      <c r="BJ155" s="18" t="s">
        <v>163</v>
      </c>
      <c r="BK155" s="18" t="s">
        <v>163</v>
      </c>
      <c r="BL155" s="18" t="s">
        <v>165</v>
      </c>
      <c r="BM155" s="18" t="s">
        <v>166</v>
      </c>
      <c r="BN155" s="18" t="s">
        <v>201</v>
      </c>
      <c r="BO155" s="18" t="s">
        <v>203</v>
      </c>
      <c r="BP155" s="18" t="s">
        <v>203</v>
      </c>
      <c r="BQ155" s="18" t="s">
        <v>170</v>
      </c>
      <c r="BR155" s="18" t="s">
        <v>230</v>
      </c>
      <c r="BS155" s="18"/>
      <c r="BT155" s="18"/>
      <c r="BU155" s="18" t="s">
        <v>171</v>
      </c>
      <c r="BV155" s="18" t="s">
        <v>171</v>
      </c>
      <c r="BW155" s="18" t="s">
        <v>172</v>
      </c>
      <c r="BX155" s="18" t="s">
        <v>172</v>
      </c>
      <c r="BY155" s="18">
        <v>-2</v>
      </c>
      <c r="BZ155" s="18">
        <v>0</v>
      </c>
      <c r="CA155" s="18" t="s">
        <v>508</v>
      </c>
      <c r="CB155" s="18" t="s">
        <v>232</v>
      </c>
      <c r="CC155" s="18"/>
      <c r="CD155" s="18"/>
      <c r="CE155" s="18"/>
      <c r="CF155" s="18" t="s">
        <v>206</v>
      </c>
      <c r="CG155" s="18">
        <v>60</v>
      </c>
      <c r="CH155" s="18">
        <v>140</v>
      </c>
      <c r="CI155" s="32">
        <v>0.6</v>
      </c>
      <c r="CJ155" s="32">
        <v>1.5</v>
      </c>
      <c r="CK155" s="32">
        <v>0.2</v>
      </c>
      <c r="CL155" s="32">
        <v>0.4</v>
      </c>
      <c r="CM155" s="33" t="s">
        <v>2166</v>
      </c>
      <c r="CN155" s="34">
        <v>4</v>
      </c>
      <c r="CO155" s="34">
        <v>15</v>
      </c>
      <c r="CP155" s="35" t="s">
        <v>2167</v>
      </c>
      <c r="CQ155" s="35" t="s">
        <v>2168</v>
      </c>
      <c r="CR155" s="36">
        <v>3</v>
      </c>
      <c r="CS155" s="36">
        <v>3</v>
      </c>
      <c r="CT155" s="36">
        <v>5</v>
      </c>
      <c r="CU155" s="36">
        <v>2</v>
      </c>
      <c r="CV155" s="36">
        <v>3</v>
      </c>
      <c r="CW155" s="36">
        <v>5</v>
      </c>
      <c r="CX155" s="36">
        <v>3</v>
      </c>
      <c r="CY155" s="36">
        <v>20</v>
      </c>
      <c r="CZ155" s="36">
        <v>8</v>
      </c>
      <c r="DA155" s="37">
        <v>110</v>
      </c>
      <c r="DB155" s="37">
        <v>60</v>
      </c>
      <c r="DC155" s="37">
        <v>150</v>
      </c>
      <c r="DD155" s="37">
        <v>20</v>
      </c>
      <c r="DE155" s="37">
        <v>25</v>
      </c>
      <c r="DF155" s="37">
        <v>60</v>
      </c>
      <c r="DG155" s="37">
        <v>30</v>
      </c>
      <c r="DH155" s="37">
        <v>400</v>
      </c>
      <c r="DI155" s="37">
        <v>100</v>
      </c>
      <c r="DJ155" s="38" t="s">
        <v>2169</v>
      </c>
      <c r="DK155" s="39" t="s">
        <v>180</v>
      </c>
      <c r="DL155" s="40">
        <v>75</v>
      </c>
      <c r="DM155" s="39" t="s">
        <v>2170</v>
      </c>
      <c r="DN155" s="41"/>
      <c r="DO155" s="41"/>
      <c r="DP155" s="41"/>
      <c r="DQ155" s="41"/>
      <c r="DR155" s="41"/>
      <c r="DS155" s="41"/>
      <c r="DT155" s="24" t="s">
        <v>182</v>
      </c>
      <c r="DU155" s="25" t="s">
        <v>183</v>
      </c>
      <c r="DV155" s="25" t="s">
        <v>183</v>
      </c>
      <c r="DW155" s="25" t="s">
        <v>183</v>
      </c>
      <c r="DX155" s="25" t="s">
        <v>183</v>
      </c>
      <c r="DY155" s="24" t="s">
        <v>182</v>
      </c>
      <c r="DZ155" s="42" t="s">
        <v>2171</v>
      </c>
      <c r="EA155" s="42" t="s">
        <v>2172</v>
      </c>
      <c r="EB155" s="43" t="s">
        <v>214</v>
      </c>
      <c r="EC155" s="44" t="s">
        <v>370</v>
      </c>
      <c r="ED155" s="45" t="s">
        <v>371</v>
      </c>
      <c r="EE155" s="46">
        <v>2</v>
      </c>
      <c r="EF155" s="47" t="s">
        <v>304</v>
      </c>
    </row>
    <row r="156" spans="1:136" ht="15" customHeight="1" x14ac:dyDescent="0.25">
      <c r="A156" s="16" t="s">
        <v>576</v>
      </c>
      <c r="B156" s="17" t="s">
        <v>409</v>
      </c>
      <c r="C156" s="17" t="s">
        <v>577</v>
      </c>
      <c r="D156" s="18">
        <v>16.5</v>
      </c>
      <c r="E156" s="18">
        <v>0.9</v>
      </c>
      <c r="F156" s="18">
        <v>0</v>
      </c>
      <c r="G156" s="18">
        <v>2.5</v>
      </c>
      <c r="H156" s="18">
        <v>1.5</v>
      </c>
      <c r="I156" s="18">
        <v>6</v>
      </c>
      <c r="J156" s="18">
        <v>0.23</v>
      </c>
      <c r="K156" s="18">
        <v>10</v>
      </c>
      <c r="L156" s="18">
        <v>26</v>
      </c>
      <c r="M156" s="18">
        <v>190</v>
      </c>
      <c r="N156" s="18">
        <v>1</v>
      </c>
      <c r="O156" s="18">
        <v>0.11</v>
      </c>
      <c r="P156" s="18">
        <v>4.9000000000000002E-2</v>
      </c>
      <c r="Q156" s="18">
        <v>7.2999999999999995E-2</v>
      </c>
      <c r="R156" s="18">
        <v>0</v>
      </c>
      <c r="S156" s="18">
        <v>19</v>
      </c>
      <c r="T156" s="18">
        <v>0.2</v>
      </c>
      <c r="U156" s="18">
        <v>170</v>
      </c>
      <c r="V156" s="18">
        <v>0.03</v>
      </c>
      <c r="W156" s="18">
        <v>0.02</v>
      </c>
      <c r="X156" s="18">
        <v>0</v>
      </c>
      <c r="Y156" s="18">
        <v>0.08</v>
      </c>
      <c r="Z156" s="18">
        <v>0</v>
      </c>
      <c r="AA156" s="18">
        <v>29</v>
      </c>
      <c r="AB156" s="18">
        <v>618</v>
      </c>
      <c r="AC156" s="18" t="s">
        <v>578</v>
      </c>
      <c r="AD156" s="18" t="s">
        <v>221</v>
      </c>
      <c r="AE156" s="18" t="s">
        <v>579</v>
      </c>
      <c r="AF156" s="18" t="s">
        <v>580</v>
      </c>
      <c r="AG156" s="18" t="s">
        <v>581</v>
      </c>
      <c r="AH156" s="18" t="s">
        <v>582</v>
      </c>
      <c r="AI156" s="18" t="s">
        <v>226</v>
      </c>
      <c r="AJ156" s="18" t="s">
        <v>156</v>
      </c>
      <c r="AK156" s="18" t="s">
        <v>157</v>
      </c>
      <c r="AL156" s="18" t="s">
        <v>282</v>
      </c>
      <c r="AM156" s="18" t="s">
        <v>283</v>
      </c>
      <c r="AN156" s="18"/>
      <c r="AO156" s="18" t="s">
        <v>228</v>
      </c>
      <c r="AP156" s="18" t="s">
        <v>161</v>
      </c>
      <c r="AQ156" s="18" t="s">
        <v>162</v>
      </c>
      <c r="AR156" s="18">
        <v>17</v>
      </c>
      <c r="AS156" s="18">
        <v>30</v>
      </c>
      <c r="AT156" s="18">
        <v>8</v>
      </c>
      <c r="AU156" s="18">
        <v>35</v>
      </c>
      <c r="AV156" s="18">
        <v>600</v>
      </c>
      <c r="AW156" s="18">
        <v>1250</v>
      </c>
      <c r="AX156" s="18">
        <v>500</v>
      </c>
      <c r="AY156" s="18">
        <v>1700</v>
      </c>
      <c r="AZ156" s="18">
        <v>5.5</v>
      </c>
      <c r="BA156" s="18">
        <v>6.8</v>
      </c>
      <c r="BB156" s="18">
        <v>4.5</v>
      </c>
      <c r="BC156" s="18">
        <v>7</v>
      </c>
      <c r="BD156" s="18"/>
      <c r="BE156" s="18"/>
      <c r="BF156" s="18">
        <v>50</v>
      </c>
      <c r="BG156" s="18">
        <v>50</v>
      </c>
      <c r="BH156" s="18">
        <v>3000</v>
      </c>
      <c r="BI156" s="18" t="s">
        <v>163</v>
      </c>
      <c r="BJ156" s="18" t="s">
        <v>163</v>
      </c>
      <c r="BK156" s="18" t="s">
        <v>163</v>
      </c>
      <c r="BL156" s="18" t="s">
        <v>165</v>
      </c>
      <c r="BM156" s="18" t="s">
        <v>166</v>
      </c>
      <c r="BN156" s="18" t="s">
        <v>166</v>
      </c>
      <c r="BO156" s="18" t="s">
        <v>167</v>
      </c>
      <c r="BP156" s="18" t="s">
        <v>250</v>
      </c>
      <c r="BQ156" s="18" t="s">
        <v>170</v>
      </c>
      <c r="BR156" s="18" t="s">
        <v>170</v>
      </c>
      <c r="BS156" s="18"/>
      <c r="BT156" s="18"/>
      <c r="BU156" s="18" t="s">
        <v>171</v>
      </c>
      <c r="BV156" s="18" t="s">
        <v>231</v>
      </c>
      <c r="BW156" s="18" t="s">
        <v>172</v>
      </c>
      <c r="BX156" s="18" t="s">
        <v>172</v>
      </c>
      <c r="BY156" s="18"/>
      <c r="BZ156" s="18"/>
      <c r="CA156" s="18" t="s">
        <v>508</v>
      </c>
      <c r="CB156" s="18" t="s">
        <v>583</v>
      </c>
      <c r="CC156" s="18"/>
      <c r="CD156" s="18"/>
      <c r="CE156" s="18"/>
      <c r="CF156" s="18" t="s">
        <v>584</v>
      </c>
      <c r="CG156" s="18">
        <v>60</v>
      </c>
      <c r="CH156" s="18">
        <v>180</v>
      </c>
      <c r="CI156" s="19">
        <v>0.5</v>
      </c>
      <c r="CJ156" s="19">
        <v>1.5</v>
      </c>
      <c r="CK156" s="19">
        <v>0.4</v>
      </c>
      <c r="CL156" s="19">
        <v>0.8</v>
      </c>
      <c r="CM156" s="17" t="s">
        <v>585</v>
      </c>
      <c r="CN156" s="20">
        <v>8</v>
      </c>
      <c r="CO156" s="20">
        <v>80</v>
      </c>
      <c r="CP156" s="17" t="s">
        <v>586</v>
      </c>
      <c r="CQ156" s="17" t="s">
        <v>209</v>
      </c>
      <c r="CR156" s="21">
        <v>5</v>
      </c>
      <c r="CS156" s="21">
        <v>8</v>
      </c>
      <c r="CT156" s="21">
        <v>6</v>
      </c>
      <c r="CU156" s="21">
        <v>4</v>
      </c>
      <c r="CV156" s="21">
        <v>6</v>
      </c>
      <c r="CW156" s="21">
        <v>5</v>
      </c>
      <c r="CX156" s="21">
        <v>5</v>
      </c>
      <c r="CY156" s="21">
        <v>25</v>
      </c>
      <c r="CZ156" s="21">
        <v>8</v>
      </c>
      <c r="DA156" s="21">
        <v>140</v>
      </c>
      <c r="DB156" s="21">
        <v>180</v>
      </c>
      <c r="DC156" s="21">
        <v>200</v>
      </c>
      <c r="DD156" s="21">
        <v>30</v>
      </c>
      <c r="DE156" s="21">
        <v>50</v>
      </c>
      <c r="DF156" s="21">
        <v>60</v>
      </c>
      <c r="DG156" s="21">
        <v>50</v>
      </c>
      <c r="DH156" s="21">
        <v>500</v>
      </c>
      <c r="DI156" s="21">
        <v>120</v>
      </c>
      <c r="DJ156" s="17" t="s">
        <v>587</v>
      </c>
      <c r="DK156" s="17" t="s">
        <v>180</v>
      </c>
      <c r="DL156" s="22">
        <v>75</v>
      </c>
      <c r="DM156" s="17" t="s">
        <v>588</v>
      </c>
      <c r="DN156" s="25" t="s">
        <v>183</v>
      </c>
      <c r="DO156" s="25" t="s">
        <v>183</v>
      </c>
      <c r="DP156" s="25" t="s">
        <v>183</v>
      </c>
      <c r="DQ156" s="24" t="s">
        <v>182</v>
      </c>
      <c r="DR156" s="24" t="s">
        <v>182</v>
      </c>
      <c r="DS156" s="23"/>
      <c r="DT156" s="23"/>
      <c r="DU156" s="23"/>
      <c r="DV156" s="23"/>
      <c r="DW156" s="23"/>
      <c r="DX156" s="24" t="s">
        <v>182</v>
      </c>
      <c r="DY156" s="25" t="s">
        <v>183</v>
      </c>
      <c r="DZ156" s="17" t="s">
        <v>589</v>
      </c>
      <c r="EA156" s="17" t="s">
        <v>590</v>
      </c>
      <c r="EB156" s="43" t="s">
        <v>214</v>
      </c>
      <c r="EC156" s="17" t="s">
        <v>591</v>
      </c>
      <c r="ED156" s="27" t="s">
        <v>496</v>
      </c>
      <c r="EE156" s="22">
        <v>2</v>
      </c>
      <c r="EF156" s="54" t="s">
        <v>217</v>
      </c>
    </row>
    <row r="157" spans="1:136" ht="15" customHeight="1" x14ac:dyDescent="0.25">
      <c r="A157" s="16" t="s">
        <v>1176</v>
      </c>
      <c r="B157" s="17" t="s">
        <v>409</v>
      </c>
      <c r="C157" s="17" t="s">
        <v>1177</v>
      </c>
      <c r="D157" s="18">
        <v>70.3</v>
      </c>
      <c r="E157" s="18">
        <v>0.6</v>
      </c>
      <c r="F157" s="18">
        <v>0.1</v>
      </c>
      <c r="G157" s="18">
        <v>16</v>
      </c>
      <c r="H157" s="18">
        <v>2.7</v>
      </c>
      <c r="I157" s="18">
        <v>20</v>
      </c>
      <c r="J157" s="18">
        <v>0.35</v>
      </c>
      <c r="K157" s="18">
        <v>9</v>
      </c>
      <c r="L157" s="18">
        <v>16</v>
      </c>
      <c r="M157" s="18">
        <v>165</v>
      </c>
      <c r="N157" s="18">
        <v>4</v>
      </c>
      <c r="O157" s="18">
        <v>7.0000000000000007E-2</v>
      </c>
      <c r="P157" s="18">
        <v>1.9E-2</v>
      </c>
      <c r="Q157" s="18">
        <v>0.3</v>
      </c>
      <c r="R157" s="18">
        <v>0</v>
      </c>
      <c r="S157" s="18">
        <v>72</v>
      </c>
      <c r="T157" s="18">
        <v>0.2</v>
      </c>
      <c r="U157" s="18">
        <v>43</v>
      </c>
      <c r="V157" s="18">
        <v>0.02</v>
      </c>
      <c r="W157" s="18">
        <v>0.05</v>
      </c>
      <c r="X157" s="18">
        <v>0.25</v>
      </c>
      <c r="Y157" s="18">
        <v>0.08</v>
      </c>
      <c r="Z157" s="18">
        <v>0</v>
      </c>
      <c r="AA157" s="18">
        <v>42</v>
      </c>
      <c r="AB157" s="18">
        <v>945</v>
      </c>
      <c r="AC157" s="18" t="s">
        <v>1178</v>
      </c>
      <c r="AD157" s="18" t="s">
        <v>1179</v>
      </c>
      <c r="AE157" s="18" t="s">
        <v>1180</v>
      </c>
      <c r="AF157" s="18"/>
      <c r="AG157" s="18" t="s">
        <v>1181</v>
      </c>
      <c r="AH157" s="18" t="s">
        <v>1182</v>
      </c>
      <c r="AI157" s="18" t="s">
        <v>155</v>
      </c>
      <c r="AJ157" s="18" t="s">
        <v>337</v>
      </c>
      <c r="AK157" s="18" t="s">
        <v>157</v>
      </c>
      <c r="AL157" s="18" t="s">
        <v>314</v>
      </c>
      <c r="AM157" s="18"/>
      <c r="AN157" s="18" t="s">
        <v>417</v>
      </c>
      <c r="AO157" s="18" t="s">
        <v>484</v>
      </c>
      <c r="AP157" s="18" t="s">
        <v>419</v>
      </c>
      <c r="AQ157" s="18" t="s">
        <v>362</v>
      </c>
      <c r="AR157" s="18">
        <v>20</v>
      </c>
      <c r="AS157" s="18">
        <v>31</v>
      </c>
      <c r="AT157" s="18">
        <v>8</v>
      </c>
      <c r="AU157" s="18">
        <v>35</v>
      </c>
      <c r="AV157" s="18">
        <v>1000</v>
      </c>
      <c r="AW157" s="18">
        <v>1700</v>
      </c>
      <c r="AX157" s="18">
        <v>300</v>
      </c>
      <c r="AY157" s="18">
        <v>3000</v>
      </c>
      <c r="AZ157" s="18">
        <v>5.5</v>
      </c>
      <c r="BA157" s="18">
        <v>6.5</v>
      </c>
      <c r="BB157" s="18">
        <v>5</v>
      </c>
      <c r="BC157" s="18">
        <v>8.3000000000000007</v>
      </c>
      <c r="BD157" s="18"/>
      <c r="BE157" s="18"/>
      <c r="BF157" s="18"/>
      <c r="BG157" s="18"/>
      <c r="BH157" s="18">
        <v>2500</v>
      </c>
      <c r="BI157" s="18" t="s">
        <v>163</v>
      </c>
      <c r="BJ157" s="18" t="s">
        <v>163</v>
      </c>
      <c r="BK157" s="18" t="s">
        <v>163</v>
      </c>
      <c r="BL157" s="18" t="s">
        <v>165</v>
      </c>
      <c r="BM157" s="18" t="s">
        <v>288</v>
      </c>
      <c r="BN157" s="18" t="s">
        <v>166</v>
      </c>
      <c r="BO157" s="18" t="s">
        <v>202</v>
      </c>
      <c r="BP157" s="18" t="s">
        <v>203</v>
      </c>
      <c r="BQ157" s="18" t="s">
        <v>169</v>
      </c>
      <c r="BR157" s="18" t="s">
        <v>170</v>
      </c>
      <c r="BS157" s="18"/>
      <c r="BT157" s="18"/>
      <c r="BU157" s="18" t="s">
        <v>171</v>
      </c>
      <c r="BV157" s="18" t="s">
        <v>171</v>
      </c>
      <c r="BW157" s="18" t="s">
        <v>172</v>
      </c>
      <c r="BX157" s="18" t="s">
        <v>290</v>
      </c>
      <c r="BY157" s="18">
        <v>-18</v>
      </c>
      <c r="BZ157" s="18">
        <v>0</v>
      </c>
      <c r="CA157" s="18" t="s">
        <v>173</v>
      </c>
      <c r="CB157" s="18" t="s">
        <v>232</v>
      </c>
      <c r="CC157" s="18"/>
      <c r="CD157" s="18"/>
      <c r="CE157" s="18"/>
      <c r="CF157" s="18"/>
      <c r="CG157" s="18">
        <v>150</v>
      </c>
      <c r="CH157" s="18">
        <v>270</v>
      </c>
      <c r="CI157" s="19">
        <v>4</v>
      </c>
      <c r="CJ157" s="19">
        <v>12</v>
      </c>
      <c r="CK157" s="19">
        <v>4</v>
      </c>
      <c r="CL157" s="19">
        <v>10</v>
      </c>
      <c r="CM157" s="17" t="s">
        <v>868</v>
      </c>
      <c r="CN157" s="20">
        <v>5</v>
      </c>
      <c r="CO157" s="20">
        <v>30</v>
      </c>
      <c r="CP157" s="17" t="s">
        <v>1183</v>
      </c>
      <c r="CQ157" s="17" t="s">
        <v>209</v>
      </c>
      <c r="CR157" s="21">
        <v>0</v>
      </c>
      <c r="CS157" s="21">
        <v>0</v>
      </c>
      <c r="CT157" s="21">
        <v>6</v>
      </c>
      <c r="CU157" s="21">
        <v>3</v>
      </c>
      <c r="CV157" s="21">
        <v>5</v>
      </c>
      <c r="CW157" s="21">
        <v>15</v>
      </c>
      <c r="CX157" s="21">
        <v>5</v>
      </c>
      <c r="CY157" s="21">
        <v>25</v>
      </c>
      <c r="CZ157" s="21">
        <v>8</v>
      </c>
      <c r="DA157" s="21">
        <v>0</v>
      </c>
      <c r="DB157" s="21">
        <v>0</v>
      </c>
      <c r="DC157" s="21">
        <v>50</v>
      </c>
      <c r="DD157" s="21">
        <v>20</v>
      </c>
      <c r="DE157" s="21">
        <v>35</v>
      </c>
      <c r="DF157" s="21">
        <v>120</v>
      </c>
      <c r="DG157" s="21">
        <v>30</v>
      </c>
      <c r="DH157" s="21">
        <v>400</v>
      </c>
      <c r="DI157" s="21">
        <v>80</v>
      </c>
      <c r="DJ157" s="17" t="s">
        <v>1184</v>
      </c>
      <c r="DK157" s="17" t="s">
        <v>409</v>
      </c>
      <c r="DL157" s="22">
        <v>150</v>
      </c>
      <c r="DM157" s="17" t="s">
        <v>1185</v>
      </c>
      <c r="DN157" s="23"/>
      <c r="DO157" s="23"/>
      <c r="DP157" s="24" t="s">
        <v>182</v>
      </c>
      <c r="DQ157" s="25" t="s">
        <v>183</v>
      </c>
      <c r="DR157" s="25" t="s">
        <v>183</v>
      </c>
      <c r="DS157" s="24" t="s">
        <v>182</v>
      </c>
      <c r="DT157" s="23"/>
      <c r="DU157" s="23"/>
      <c r="DV157" s="23"/>
      <c r="DW157" s="23"/>
      <c r="DX157" s="23"/>
      <c r="DY157" s="23"/>
      <c r="DZ157" s="17" t="s">
        <v>1186</v>
      </c>
      <c r="EA157" s="17" t="s">
        <v>1187</v>
      </c>
      <c r="EB157" s="26" t="s">
        <v>186</v>
      </c>
      <c r="EC157" s="17" t="s">
        <v>1188</v>
      </c>
      <c r="ED157" s="27" t="s">
        <v>352</v>
      </c>
      <c r="EE157" s="22">
        <v>4</v>
      </c>
      <c r="EF157" s="28" t="s">
        <v>275</v>
      </c>
    </row>
    <row r="158" spans="1:136" ht="15" customHeight="1" x14ac:dyDescent="0.25">
      <c r="A158" s="16" t="s">
        <v>1189</v>
      </c>
      <c r="B158" s="29" t="s">
        <v>409</v>
      </c>
      <c r="C158" s="29" t="s">
        <v>1190</v>
      </c>
      <c r="D158" s="30">
        <v>39.4</v>
      </c>
      <c r="E158" s="30">
        <v>0.5</v>
      </c>
      <c r="F158" s="30">
        <v>0</v>
      </c>
      <c r="G158" s="30">
        <v>8.6</v>
      </c>
      <c r="H158" s="30">
        <v>1.3</v>
      </c>
      <c r="I158" s="30">
        <v>6</v>
      </c>
      <c r="J158" s="30">
        <v>0.1</v>
      </c>
      <c r="K158" s="30">
        <v>12</v>
      </c>
      <c r="L158" s="30">
        <v>6</v>
      </c>
      <c r="M158" s="30">
        <v>160</v>
      </c>
      <c r="N158" s="30">
        <v>0</v>
      </c>
      <c r="O158" s="30">
        <v>0.13</v>
      </c>
      <c r="P158" s="30">
        <v>4.3999999999999997E-2</v>
      </c>
      <c r="Q158" s="30">
        <v>0.33500000000000002</v>
      </c>
      <c r="R158" s="30">
        <v>0</v>
      </c>
      <c r="S158" s="30">
        <v>2</v>
      </c>
      <c r="T158" s="30">
        <v>0.25</v>
      </c>
      <c r="U158" s="30">
        <v>50</v>
      </c>
      <c r="V158" s="30">
        <v>4.4999999999999998E-2</v>
      </c>
      <c r="W158" s="30">
        <v>0</v>
      </c>
      <c r="X158" s="30">
        <v>0</v>
      </c>
      <c r="Y158" s="30">
        <v>0.08</v>
      </c>
      <c r="Z158" s="30">
        <v>0</v>
      </c>
      <c r="AA158" s="30">
        <v>12</v>
      </c>
      <c r="AB158" s="31">
        <v>402</v>
      </c>
      <c r="AC158" s="31" t="s">
        <v>1191</v>
      </c>
      <c r="AD158" s="31" t="s">
        <v>1192</v>
      </c>
      <c r="AE158" s="31" t="s">
        <v>1193</v>
      </c>
      <c r="AF158" s="31" t="s">
        <v>1194</v>
      </c>
      <c r="AG158" s="31" t="s">
        <v>1195</v>
      </c>
      <c r="AH158" s="31" t="s">
        <v>1196</v>
      </c>
      <c r="AI158" s="31" t="s">
        <v>226</v>
      </c>
      <c r="AJ158" s="31" t="s">
        <v>156</v>
      </c>
      <c r="AK158" s="31" t="s">
        <v>157</v>
      </c>
      <c r="AL158" s="31" t="s">
        <v>314</v>
      </c>
      <c r="AM158" s="31"/>
      <c r="AN158" s="31" t="s">
        <v>160</v>
      </c>
      <c r="AO158" s="31" t="s">
        <v>419</v>
      </c>
      <c r="AP158" s="31" t="s">
        <v>419</v>
      </c>
      <c r="AQ158" s="31" t="s">
        <v>162</v>
      </c>
      <c r="AR158" s="31">
        <v>21</v>
      </c>
      <c r="AS158" s="31">
        <v>30</v>
      </c>
      <c r="AT158" s="31">
        <v>10</v>
      </c>
      <c r="AU158" s="31">
        <v>36</v>
      </c>
      <c r="AV158" s="31">
        <v>800</v>
      </c>
      <c r="AW158" s="31">
        <v>2500</v>
      </c>
      <c r="AX158" s="31">
        <v>550</v>
      </c>
      <c r="AY158" s="31">
        <v>3500</v>
      </c>
      <c r="AZ158" s="31">
        <v>4.5</v>
      </c>
      <c r="BA158" s="31">
        <v>8</v>
      </c>
      <c r="BB158" s="31">
        <v>3.5</v>
      </c>
      <c r="BC158" s="31">
        <v>9</v>
      </c>
      <c r="BD158" s="31"/>
      <c r="BE158" s="31"/>
      <c r="BF158" s="31">
        <v>25</v>
      </c>
      <c r="BG158" s="31">
        <v>33</v>
      </c>
      <c r="BH158" s="31">
        <v>1800</v>
      </c>
      <c r="BI158" s="31" t="s">
        <v>164</v>
      </c>
      <c r="BJ158" s="31" t="s">
        <v>165</v>
      </c>
      <c r="BK158" s="31" t="s">
        <v>163</v>
      </c>
      <c r="BL158" s="31" t="s">
        <v>317</v>
      </c>
      <c r="BM158" s="31" t="s">
        <v>166</v>
      </c>
      <c r="BN158" s="31" t="s">
        <v>201</v>
      </c>
      <c r="BO158" s="31" t="s">
        <v>250</v>
      </c>
      <c r="BP158" s="31" t="s">
        <v>203</v>
      </c>
      <c r="BQ158" s="31" t="s">
        <v>170</v>
      </c>
      <c r="BR158" s="31" t="s">
        <v>170</v>
      </c>
      <c r="BS158" s="31"/>
      <c r="BT158" s="31"/>
      <c r="BU158" s="31" t="s">
        <v>171</v>
      </c>
      <c r="BV158" s="31" t="s">
        <v>231</v>
      </c>
      <c r="BW158" s="31" t="s">
        <v>172</v>
      </c>
      <c r="BX158" s="31" t="s">
        <v>290</v>
      </c>
      <c r="BY158" s="31"/>
      <c r="BZ158" s="31"/>
      <c r="CA158" s="31" t="s">
        <v>291</v>
      </c>
      <c r="CB158" s="31" t="s">
        <v>319</v>
      </c>
      <c r="CC158" s="31"/>
      <c r="CD158" s="31"/>
      <c r="CE158" s="31"/>
      <c r="CF158" s="31"/>
      <c r="CG158" s="31">
        <v>330</v>
      </c>
      <c r="CH158" s="31">
        <v>365</v>
      </c>
      <c r="CI158" s="32">
        <v>0.6</v>
      </c>
      <c r="CJ158" s="32">
        <v>1.5</v>
      </c>
      <c r="CK158" s="32">
        <v>0.6</v>
      </c>
      <c r="CL158" s="32">
        <v>1.2</v>
      </c>
      <c r="CM158" s="33" t="s">
        <v>1197</v>
      </c>
      <c r="CN158" s="34">
        <v>15</v>
      </c>
      <c r="CO158" s="34">
        <v>80</v>
      </c>
      <c r="CP158" s="35" t="s">
        <v>1198</v>
      </c>
      <c r="CQ158" s="35" t="s">
        <v>209</v>
      </c>
      <c r="CR158" s="36">
        <v>0</v>
      </c>
      <c r="CS158" s="36">
        <v>8</v>
      </c>
      <c r="CT158" s="36">
        <v>10</v>
      </c>
      <c r="CU158" s="36">
        <v>6</v>
      </c>
      <c r="CV158" s="36">
        <v>6</v>
      </c>
      <c r="CW158" s="36">
        <v>5</v>
      </c>
      <c r="CX158" s="36">
        <v>5</v>
      </c>
      <c r="CY158" s="36">
        <v>20</v>
      </c>
      <c r="CZ158" s="36">
        <v>8</v>
      </c>
      <c r="DA158" s="37">
        <v>0</v>
      </c>
      <c r="DB158" s="37">
        <v>200</v>
      </c>
      <c r="DC158" s="37">
        <v>200</v>
      </c>
      <c r="DD158" s="37">
        <v>40</v>
      </c>
      <c r="DE158" s="37">
        <v>40</v>
      </c>
      <c r="DF158" s="37">
        <v>60</v>
      </c>
      <c r="DG158" s="37">
        <v>35</v>
      </c>
      <c r="DH158" s="37">
        <v>400</v>
      </c>
      <c r="DI158" s="37">
        <v>80</v>
      </c>
      <c r="DJ158" s="38" t="s">
        <v>1199</v>
      </c>
      <c r="DK158" s="39" t="s">
        <v>409</v>
      </c>
      <c r="DL158" s="40">
        <v>150</v>
      </c>
      <c r="DM158" s="39" t="s">
        <v>1200</v>
      </c>
      <c r="DN158" s="25" t="s">
        <v>183</v>
      </c>
      <c r="DO158" s="25" t="s">
        <v>183</v>
      </c>
      <c r="DP158" s="24" t="s">
        <v>182</v>
      </c>
      <c r="DQ158" s="41"/>
      <c r="DR158" s="41"/>
      <c r="DS158" s="41"/>
      <c r="DT158" s="41"/>
      <c r="DU158" s="41"/>
      <c r="DV158" s="41"/>
      <c r="DW158" s="41"/>
      <c r="DX158" s="24" t="s">
        <v>182</v>
      </c>
      <c r="DY158" s="25" t="s">
        <v>183</v>
      </c>
      <c r="DZ158" s="42" t="s">
        <v>1201</v>
      </c>
      <c r="EA158" s="42" t="s">
        <v>1202</v>
      </c>
      <c r="EB158" s="43" t="s">
        <v>214</v>
      </c>
      <c r="EC158" s="44" t="s">
        <v>1203</v>
      </c>
      <c r="ED158" s="45" t="s">
        <v>575</v>
      </c>
      <c r="EE158" s="46">
        <v>4</v>
      </c>
      <c r="EF158" s="47" t="s">
        <v>217</v>
      </c>
    </row>
    <row r="159" spans="1:136" ht="15" customHeight="1" x14ac:dyDescent="0.25">
      <c r="A159" s="16" t="s">
        <v>1699</v>
      </c>
      <c r="B159" s="29" t="s">
        <v>1700</v>
      </c>
      <c r="C159" s="29" t="s">
        <v>1701</v>
      </c>
      <c r="D159" s="30">
        <v>22.5</v>
      </c>
      <c r="E159" s="30">
        <v>2.6</v>
      </c>
      <c r="F159" s="30">
        <v>0.5</v>
      </c>
      <c r="G159" s="30">
        <v>0.2</v>
      </c>
      <c r="H159" s="30">
        <v>3.3</v>
      </c>
      <c r="I159" s="30">
        <v>220</v>
      </c>
      <c r="J159" s="30">
        <v>3</v>
      </c>
      <c r="K159" s="30">
        <v>55</v>
      </c>
      <c r="L159" s="30">
        <v>91</v>
      </c>
      <c r="M159" s="30">
        <v>440</v>
      </c>
      <c r="N159" s="30">
        <v>10</v>
      </c>
      <c r="O159" s="30">
        <v>0.92</v>
      </c>
      <c r="P159" s="30">
        <v>0.22</v>
      </c>
      <c r="Q159" s="30">
        <v>1.1000000000000001</v>
      </c>
      <c r="R159" s="30">
        <v>0</v>
      </c>
      <c r="S159" s="30">
        <v>583</v>
      </c>
      <c r="T159" s="30">
        <v>2.1</v>
      </c>
      <c r="U159" s="30">
        <v>6</v>
      </c>
      <c r="V159" s="30">
        <v>0.05</v>
      </c>
      <c r="W159" s="30">
        <v>0.1</v>
      </c>
      <c r="X159" s="30">
        <v>0</v>
      </c>
      <c r="Y159" s="30">
        <v>7.0000000000000007E-2</v>
      </c>
      <c r="Z159" s="30">
        <v>0</v>
      </c>
      <c r="AA159" s="30">
        <v>91</v>
      </c>
      <c r="AB159" s="31">
        <v>1547</v>
      </c>
      <c r="AC159" s="31" t="s">
        <v>1702</v>
      </c>
      <c r="AD159" s="31" t="s">
        <v>221</v>
      </c>
      <c r="AE159" s="31" t="s">
        <v>1703</v>
      </c>
      <c r="AF159" s="31" t="s">
        <v>1704</v>
      </c>
      <c r="AG159" s="31" t="s">
        <v>1705</v>
      </c>
      <c r="AH159" s="31" t="s">
        <v>1706</v>
      </c>
      <c r="AI159" s="31" t="s">
        <v>155</v>
      </c>
      <c r="AJ159" s="31" t="s">
        <v>156</v>
      </c>
      <c r="AK159" s="31" t="s">
        <v>157</v>
      </c>
      <c r="AL159" s="31" t="s">
        <v>282</v>
      </c>
      <c r="AM159" s="31" t="s">
        <v>283</v>
      </c>
      <c r="AN159" s="31" t="s">
        <v>160</v>
      </c>
      <c r="AO159" s="31" t="s">
        <v>1707</v>
      </c>
      <c r="AP159" s="31" t="s">
        <v>161</v>
      </c>
      <c r="AQ159" s="31" t="s">
        <v>162</v>
      </c>
      <c r="AR159" s="31">
        <v>18</v>
      </c>
      <c r="AS159" s="31">
        <v>27</v>
      </c>
      <c r="AT159" s="31">
        <v>7</v>
      </c>
      <c r="AU159" s="31">
        <v>36</v>
      </c>
      <c r="AV159" s="31">
        <v>1000</v>
      </c>
      <c r="AW159" s="31">
        <v>1600</v>
      </c>
      <c r="AX159" s="31">
        <v>600</v>
      </c>
      <c r="AY159" s="31">
        <v>4300</v>
      </c>
      <c r="AZ159" s="31">
        <v>6</v>
      </c>
      <c r="BA159" s="31">
        <v>7</v>
      </c>
      <c r="BB159" s="31">
        <v>4.3</v>
      </c>
      <c r="BC159" s="31">
        <v>8.1999999999999993</v>
      </c>
      <c r="BD159" s="31">
        <v>20</v>
      </c>
      <c r="BE159" s="31"/>
      <c r="BF159" s="31">
        <v>40</v>
      </c>
      <c r="BG159" s="31">
        <v>60</v>
      </c>
      <c r="BH159" s="31"/>
      <c r="BI159" s="31" t="s">
        <v>163</v>
      </c>
      <c r="BJ159" s="31" t="s">
        <v>163</v>
      </c>
      <c r="BK159" s="31" t="s">
        <v>163</v>
      </c>
      <c r="BL159" s="31" t="s">
        <v>164</v>
      </c>
      <c r="BM159" s="31" t="s">
        <v>201</v>
      </c>
      <c r="BN159" s="31" t="s">
        <v>201</v>
      </c>
      <c r="BO159" s="31" t="s">
        <v>202</v>
      </c>
      <c r="BP159" s="31" t="s">
        <v>203</v>
      </c>
      <c r="BQ159" s="31" t="s">
        <v>169</v>
      </c>
      <c r="BR159" s="31" t="s">
        <v>230</v>
      </c>
      <c r="BS159" s="31"/>
      <c r="BT159" s="31"/>
      <c r="BU159" s="31" t="s">
        <v>171</v>
      </c>
      <c r="BV159" s="31" t="s">
        <v>171</v>
      </c>
      <c r="BW159" s="31" t="s">
        <v>172</v>
      </c>
      <c r="BX159" s="31" t="s">
        <v>172</v>
      </c>
      <c r="BY159" s="31"/>
      <c r="BZ159" s="31"/>
      <c r="CA159" s="31" t="s">
        <v>173</v>
      </c>
      <c r="CB159" s="31" t="s">
        <v>1708</v>
      </c>
      <c r="CC159" s="31"/>
      <c r="CD159" s="31" t="s">
        <v>964</v>
      </c>
      <c r="CE159" s="31" t="s">
        <v>883</v>
      </c>
      <c r="CF159" s="31" t="s">
        <v>206</v>
      </c>
      <c r="CG159" s="31">
        <v>80</v>
      </c>
      <c r="CH159" s="31">
        <v>270</v>
      </c>
      <c r="CI159" s="19">
        <v>0.3</v>
      </c>
      <c r="CJ159" s="19">
        <v>0.9</v>
      </c>
      <c r="CK159" s="19">
        <v>0.2</v>
      </c>
      <c r="CL159" s="19">
        <v>0.5</v>
      </c>
      <c r="CM159" s="17" t="s">
        <v>1709</v>
      </c>
      <c r="CN159" s="20">
        <v>5</v>
      </c>
      <c r="CO159" s="20">
        <v>20</v>
      </c>
      <c r="CP159" s="17" t="s">
        <v>1710</v>
      </c>
      <c r="CQ159" s="17" t="s">
        <v>723</v>
      </c>
      <c r="CR159" s="21">
        <v>4</v>
      </c>
      <c r="CS159" s="21">
        <v>5</v>
      </c>
      <c r="CT159" s="21">
        <v>8</v>
      </c>
      <c r="CU159" s="21">
        <v>3</v>
      </c>
      <c r="CV159" s="21">
        <v>4</v>
      </c>
      <c r="CW159" s="21">
        <v>5</v>
      </c>
      <c r="CX159" s="21">
        <v>4</v>
      </c>
      <c r="CY159" s="21">
        <v>20</v>
      </c>
      <c r="CZ159" s="21">
        <v>8</v>
      </c>
      <c r="DA159" s="21">
        <v>120</v>
      </c>
      <c r="DB159" s="21">
        <v>130</v>
      </c>
      <c r="DC159" s="21">
        <v>250</v>
      </c>
      <c r="DD159" s="21">
        <v>25</v>
      </c>
      <c r="DE159" s="21">
        <v>35</v>
      </c>
      <c r="DF159" s="21">
        <v>60</v>
      </c>
      <c r="DG159" s="21">
        <v>40</v>
      </c>
      <c r="DH159" s="21">
        <v>450</v>
      </c>
      <c r="DI159" s="21">
        <v>120</v>
      </c>
      <c r="DJ159" s="17" t="s">
        <v>1711</v>
      </c>
      <c r="DK159" s="17" t="s">
        <v>180</v>
      </c>
      <c r="DL159" s="22">
        <v>75</v>
      </c>
      <c r="DM159" s="17" t="s">
        <v>1712</v>
      </c>
      <c r="DN159" s="25" t="s">
        <v>183</v>
      </c>
      <c r="DO159" s="25" t="s">
        <v>183</v>
      </c>
      <c r="DP159" s="25" t="s">
        <v>183</v>
      </c>
      <c r="DQ159" s="24" t="s">
        <v>182</v>
      </c>
      <c r="DR159" s="23"/>
      <c r="DS159" s="23"/>
      <c r="DT159" s="23"/>
      <c r="DU159" s="23"/>
      <c r="DV159" s="23"/>
      <c r="DW159" s="23"/>
      <c r="DX159" s="24" t="s">
        <v>182</v>
      </c>
      <c r="DY159" s="25" t="s">
        <v>183</v>
      </c>
      <c r="DZ159" s="17" t="s">
        <v>1713</v>
      </c>
      <c r="EA159" s="17" t="s">
        <v>709</v>
      </c>
      <c r="EB159" s="43" t="s">
        <v>214</v>
      </c>
      <c r="EC159" s="17" t="s">
        <v>1714</v>
      </c>
      <c r="ED159" s="27" t="s">
        <v>1067</v>
      </c>
      <c r="EE159" s="22">
        <v>3</v>
      </c>
      <c r="EF159" s="54" t="s">
        <v>1477</v>
      </c>
    </row>
    <row r="160" spans="1:136" ht="15" customHeight="1" x14ac:dyDescent="0.25">
      <c r="A160" s="16" t="s">
        <v>1685</v>
      </c>
      <c r="B160" s="17" t="s">
        <v>1686</v>
      </c>
      <c r="C160" s="17" t="s">
        <v>1687</v>
      </c>
      <c r="D160" s="18">
        <v>88.2</v>
      </c>
      <c r="E160" s="18">
        <v>3.6</v>
      </c>
      <c r="F160" s="18">
        <v>1.8</v>
      </c>
      <c r="G160" s="18">
        <v>12.5</v>
      </c>
      <c r="H160" s="18">
        <v>4.2</v>
      </c>
      <c r="I160" s="18">
        <v>16</v>
      </c>
      <c r="J160" s="18">
        <v>1.2</v>
      </c>
      <c r="K160" s="18">
        <v>12</v>
      </c>
      <c r="L160" s="18">
        <v>22</v>
      </c>
      <c r="M160" s="18">
        <v>250</v>
      </c>
      <c r="N160" s="18">
        <v>19</v>
      </c>
      <c r="O160" s="18">
        <v>0.45</v>
      </c>
      <c r="P160" s="18">
        <v>2.8000000000000001E-2</v>
      </c>
      <c r="Q160" s="18">
        <v>0.11</v>
      </c>
      <c r="R160" s="18">
        <v>0</v>
      </c>
      <c r="S160" s="18">
        <v>1</v>
      </c>
      <c r="T160" s="18">
        <v>0</v>
      </c>
      <c r="U160" s="18">
        <v>3</v>
      </c>
      <c r="V160" s="18">
        <v>0.05</v>
      </c>
      <c r="W160" s="18">
        <v>0.05</v>
      </c>
      <c r="X160" s="18">
        <v>1.25</v>
      </c>
      <c r="Y160" s="18">
        <v>7.0000000000000007E-2</v>
      </c>
      <c r="Z160" s="18">
        <v>0</v>
      </c>
      <c r="AA160" s="18">
        <v>16</v>
      </c>
      <c r="AB160" s="18">
        <v>10981</v>
      </c>
      <c r="AC160" s="18" t="s">
        <v>1688</v>
      </c>
      <c r="AD160" s="18" t="s">
        <v>1689</v>
      </c>
      <c r="AE160" s="18" t="s">
        <v>1505</v>
      </c>
      <c r="AF160" s="18"/>
      <c r="AG160" s="18" t="s">
        <v>1690</v>
      </c>
      <c r="AH160" s="18" t="s">
        <v>1691</v>
      </c>
      <c r="AI160" s="18" t="s">
        <v>155</v>
      </c>
      <c r="AJ160" s="18" t="s">
        <v>1509</v>
      </c>
      <c r="AK160" s="18" t="s">
        <v>157</v>
      </c>
      <c r="AL160" s="18" t="s">
        <v>282</v>
      </c>
      <c r="AM160" s="18" t="s">
        <v>283</v>
      </c>
      <c r="AN160" s="18" t="s">
        <v>160</v>
      </c>
      <c r="AO160" s="18" t="s">
        <v>1692</v>
      </c>
      <c r="AP160" s="18" t="s">
        <v>286</v>
      </c>
      <c r="AQ160" s="18" t="s">
        <v>162</v>
      </c>
      <c r="AR160" s="18">
        <v>16</v>
      </c>
      <c r="AS160" s="18">
        <v>24</v>
      </c>
      <c r="AT160" s="18">
        <v>12</v>
      </c>
      <c r="AU160" s="18">
        <v>38</v>
      </c>
      <c r="AV160" s="18">
        <v>800</v>
      </c>
      <c r="AW160" s="18">
        <v>1500</v>
      </c>
      <c r="AX160" s="18">
        <v>600</v>
      </c>
      <c r="AY160" s="18">
        <v>1800</v>
      </c>
      <c r="AZ160" s="18">
        <v>5.5</v>
      </c>
      <c r="BA160" s="18">
        <v>6.8</v>
      </c>
      <c r="BB160" s="18">
        <v>4.5</v>
      </c>
      <c r="BC160" s="18">
        <v>7.5</v>
      </c>
      <c r="BD160" s="18"/>
      <c r="BE160" s="18"/>
      <c r="BF160" s="18"/>
      <c r="BG160" s="18"/>
      <c r="BH160" s="18">
        <v>2000</v>
      </c>
      <c r="BI160" s="18" t="s">
        <v>163</v>
      </c>
      <c r="BJ160" s="18" t="s">
        <v>163</v>
      </c>
      <c r="BK160" s="18" t="s">
        <v>163</v>
      </c>
      <c r="BL160" s="18" t="s">
        <v>164</v>
      </c>
      <c r="BM160" s="18" t="s">
        <v>166</v>
      </c>
      <c r="BN160" s="18" t="s">
        <v>201</v>
      </c>
      <c r="BO160" s="18" t="s">
        <v>167</v>
      </c>
      <c r="BP160" s="18" t="s">
        <v>203</v>
      </c>
      <c r="BQ160" s="18" t="s">
        <v>169</v>
      </c>
      <c r="BR160" s="18" t="s">
        <v>230</v>
      </c>
      <c r="BS160" s="18"/>
      <c r="BT160" s="18"/>
      <c r="BU160" s="18" t="s">
        <v>171</v>
      </c>
      <c r="BV160" s="18" t="s">
        <v>231</v>
      </c>
      <c r="BW160" s="18" t="s">
        <v>172</v>
      </c>
      <c r="BX160" s="18" t="s">
        <v>290</v>
      </c>
      <c r="BY160" s="18"/>
      <c r="BZ160" s="18"/>
      <c r="CA160" s="18" t="s">
        <v>508</v>
      </c>
      <c r="CB160" s="18" t="s">
        <v>1358</v>
      </c>
      <c r="CC160" s="18"/>
      <c r="CD160" s="18"/>
      <c r="CE160" s="18"/>
      <c r="CF160" s="18"/>
      <c r="CG160" s="18">
        <v>65</v>
      </c>
      <c r="CH160" s="18">
        <v>100</v>
      </c>
      <c r="CI160" s="32">
        <v>1.5</v>
      </c>
      <c r="CJ160" s="32">
        <v>3</v>
      </c>
      <c r="CK160" s="32">
        <v>0.3</v>
      </c>
      <c r="CL160" s="32">
        <v>0.5</v>
      </c>
      <c r="CM160" s="33" t="s">
        <v>1557</v>
      </c>
      <c r="CN160" s="34">
        <v>5</v>
      </c>
      <c r="CO160" s="34">
        <v>20</v>
      </c>
      <c r="CP160" s="35" t="s">
        <v>1693</v>
      </c>
      <c r="CQ160" s="35" t="s">
        <v>539</v>
      </c>
      <c r="CR160" s="36">
        <v>4</v>
      </c>
      <c r="CS160" s="36">
        <v>2</v>
      </c>
      <c r="CT160" s="36">
        <v>3</v>
      </c>
      <c r="CU160" s="36">
        <v>2</v>
      </c>
      <c r="CV160" s="36">
        <v>2</v>
      </c>
      <c r="CW160" s="36">
        <v>0</v>
      </c>
      <c r="CX160" s="36">
        <v>2</v>
      </c>
      <c r="CY160" s="36">
        <v>8</v>
      </c>
      <c r="CZ160" s="36">
        <v>3</v>
      </c>
      <c r="DA160" s="37">
        <v>130</v>
      </c>
      <c r="DB160" s="37">
        <v>60</v>
      </c>
      <c r="DC160" s="37">
        <v>100</v>
      </c>
      <c r="DD160" s="37">
        <v>25</v>
      </c>
      <c r="DE160" s="37">
        <v>15</v>
      </c>
      <c r="DF160" s="37">
        <v>0</v>
      </c>
      <c r="DG160" s="37">
        <v>20</v>
      </c>
      <c r="DH160" s="37">
        <v>200</v>
      </c>
      <c r="DI160" s="37">
        <v>60</v>
      </c>
      <c r="DJ160" s="38" t="s">
        <v>1694</v>
      </c>
      <c r="DK160" s="39" t="s">
        <v>180</v>
      </c>
      <c r="DL160" s="40">
        <v>75</v>
      </c>
      <c r="DM160" s="39" t="s">
        <v>1695</v>
      </c>
      <c r="DN160" s="25" t="s">
        <v>183</v>
      </c>
      <c r="DO160" s="25" t="s">
        <v>183</v>
      </c>
      <c r="DP160" s="25" t="s">
        <v>183</v>
      </c>
      <c r="DQ160" s="24" t="s">
        <v>182</v>
      </c>
      <c r="DR160" s="41"/>
      <c r="DS160" s="41"/>
      <c r="DT160" s="41"/>
      <c r="DU160" s="41"/>
      <c r="DV160" s="41"/>
      <c r="DW160" s="41"/>
      <c r="DX160" s="24" t="s">
        <v>182</v>
      </c>
      <c r="DY160" s="25" t="s">
        <v>183</v>
      </c>
      <c r="DZ160" s="42" t="s">
        <v>1696</v>
      </c>
      <c r="EA160" s="42" t="s">
        <v>1697</v>
      </c>
      <c r="EB160" s="52" t="s">
        <v>301</v>
      </c>
      <c r="EC160" s="44" t="s">
        <v>1698</v>
      </c>
      <c r="ED160" s="45" t="s">
        <v>828</v>
      </c>
      <c r="EE160" s="46">
        <v>4</v>
      </c>
      <c r="EF160" s="56" t="s">
        <v>1068</v>
      </c>
    </row>
    <row r="161" spans="1:136" ht="15" customHeight="1" x14ac:dyDescent="0.25">
      <c r="A161" s="16" t="s">
        <v>1098</v>
      </c>
      <c r="B161" s="17" t="s">
        <v>409</v>
      </c>
      <c r="C161" s="17" t="s">
        <v>1099</v>
      </c>
      <c r="D161" s="18">
        <v>41.6</v>
      </c>
      <c r="E161" s="18">
        <v>1</v>
      </c>
      <c r="F161" s="18">
        <v>0</v>
      </c>
      <c r="G161" s="18">
        <v>8.1999999999999993</v>
      </c>
      <c r="H161" s="18">
        <v>2.2999999999999998</v>
      </c>
      <c r="I161" s="18">
        <v>24</v>
      </c>
      <c r="J161" s="18">
        <v>0</v>
      </c>
      <c r="K161" s="18">
        <v>12</v>
      </c>
      <c r="L161" s="18">
        <v>23</v>
      </c>
      <c r="M161" s="18">
        <v>186</v>
      </c>
      <c r="N161" s="18">
        <v>0</v>
      </c>
      <c r="O161" s="18">
        <v>0.06</v>
      </c>
      <c r="P161" s="18">
        <v>3.9E-2</v>
      </c>
      <c r="Q161" s="18">
        <v>2.5000000000000001E-2</v>
      </c>
      <c r="R161" s="18">
        <v>0</v>
      </c>
      <c r="S161" s="18">
        <v>7</v>
      </c>
      <c r="T161" s="18">
        <v>0.1</v>
      </c>
      <c r="U161" s="18">
        <v>50</v>
      </c>
      <c r="V161" s="18">
        <v>7.0000000000000007E-2</v>
      </c>
      <c r="W161" s="18">
        <v>0.02</v>
      </c>
      <c r="X161" s="18">
        <v>0</v>
      </c>
      <c r="Y161" s="18">
        <v>7.0000000000000007E-2</v>
      </c>
      <c r="Z161" s="18">
        <v>0</v>
      </c>
      <c r="AA161" s="18">
        <v>61</v>
      </c>
      <c r="AB161" s="18">
        <v>720</v>
      </c>
      <c r="AC161" s="18" t="s">
        <v>1100</v>
      </c>
      <c r="AD161" s="18" t="s">
        <v>1101</v>
      </c>
      <c r="AE161" s="18" t="s">
        <v>715</v>
      </c>
      <c r="AF161" s="18" t="s">
        <v>1102</v>
      </c>
      <c r="AG161" s="18" t="s">
        <v>1103</v>
      </c>
      <c r="AH161" s="18" t="s">
        <v>1104</v>
      </c>
      <c r="AI161" s="18" t="s">
        <v>155</v>
      </c>
      <c r="AJ161" s="18" t="s">
        <v>337</v>
      </c>
      <c r="AK161" s="18" t="s">
        <v>157</v>
      </c>
      <c r="AL161" s="18" t="s">
        <v>314</v>
      </c>
      <c r="AM161" s="18"/>
      <c r="AN161" s="18" t="s">
        <v>338</v>
      </c>
      <c r="AO161" s="18" t="s">
        <v>419</v>
      </c>
      <c r="AP161" s="18" t="s">
        <v>419</v>
      </c>
      <c r="AQ161" s="18" t="s">
        <v>162</v>
      </c>
      <c r="AR161" s="18">
        <v>20</v>
      </c>
      <c r="AS161" s="18">
        <v>30</v>
      </c>
      <c r="AT161" s="18">
        <v>13</v>
      </c>
      <c r="AU161" s="18">
        <v>38</v>
      </c>
      <c r="AV161" s="18">
        <v>1200</v>
      </c>
      <c r="AW161" s="18">
        <v>2000</v>
      </c>
      <c r="AX161" s="18">
        <v>450</v>
      </c>
      <c r="AY161" s="18">
        <v>2700</v>
      </c>
      <c r="AZ161" s="18">
        <v>5</v>
      </c>
      <c r="BA161" s="18">
        <v>6</v>
      </c>
      <c r="BB161" s="18">
        <v>4</v>
      </c>
      <c r="BC161" s="18">
        <v>8.3000000000000007</v>
      </c>
      <c r="BD161" s="18"/>
      <c r="BE161" s="18"/>
      <c r="BF161" s="18">
        <v>40</v>
      </c>
      <c r="BG161" s="18">
        <v>40</v>
      </c>
      <c r="BH161" s="18">
        <v>2100</v>
      </c>
      <c r="BI161" s="18" t="s">
        <v>163</v>
      </c>
      <c r="BJ161" s="18" t="s">
        <v>163</v>
      </c>
      <c r="BK161" s="18" t="s">
        <v>163</v>
      </c>
      <c r="BL161" s="18" t="s">
        <v>164</v>
      </c>
      <c r="BM161" s="18" t="s">
        <v>288</v>
      </c>
      <c r="BN161" s="18" t="s">
        <v>166</v>
      </c>
      <c r="BO161" s="59" t="s">
        <v>250</v>
      </c>
      <c r="BP161" s="59" t="s">
        <v>203</v>
      </c>
      <c r="BQ161" s="59" t="s">
        <v>170</v>
      </c>
      <c r="BR161" s="59" t="s">
        <v>230</v>
      </c>
      <c r="BS161" s="59"/>
      <c r="BT161" s="59"/>
      <c r="BU161" s="59" t="s">
        <v>171</v>
      </c>
      <c r="BV161" s="59" t="s">
        <v>171</v>
      </c>
      <c r="BW161" s="59" t="s">
        <v>172</v>
      </c>
      <c r="BX161" s="59" t="s">
        <v>172</v>
      </c>
      <c r="BY161" s="59">
        <v>-10</v>
      </c>
      <c r="BZ161" s="59">
        <v>0</v>
      </c>
      <c r="CA161" s="59" t="s">
        <v>173</v>
      </c>
      <c r="CB161" s="59" t="s">
        <v>651</v>
      </c>
      <c r="CC161" s="59"/>
      <c r="CD161" s="59"/>
      <c r="CE161" s="59"/>
      <c r="CF161" s="59" t="s">
        <v>850</v>
      </c>
      <c r="CG161" s="59">
        <v>180</v>
      </c>
      <c r="CH161" s="59">
        <v>365</v>
      </c>
      <c r="CI161" s="19">
        <v>4</v>
      </c>
      <c r="CJ161" s="19">
        <v>10</v>
      </c>
      <c r="CK161" s="19">
        <v>4</v>
      </c>
      <c r="CL161" s="19">
        <v>8</v>
      </c>
      <c r="CM161" s="17" t="s">
        <v>868</v>
      </c>
      <c r="CN161" s="20">
        <v>10</v>
      </c>
      <c r="CO161" s="20">
        <v>60</v>
      </c>
      <c r="CP161" s="17" t="s">
        <v>1105</v>
      </c>
      <c r="CQ161" s="17" t="s">
        <v>209</v>
      </c>
      <c r="CR161" s="21">
        <v>0</v>
      </c>
      <c r="CS161" s="21">
        <v>0</v>
      </c>
      <c r="CT161" s="21">
        <v>8</v>
      </c>
      <c r="CU161" s="21">
        <v>4</v>
      </c>
      <c r="CV161" s="21">
        <v>8</v>
      </c>
      <c r="CW161" s="21">
        <v>10</v>
      </c>
      <c r="CX161" s="21">
        <v>6</v>
      </c>
      <c r="CY161" s="21">
        <v>25</v>
      </c>
      <c r="CZ161" s="21">
        <v>8</v>
      </c>
      <c r="DA161" s="21">
        <v>0</v>
      </c>
      <c r="DB161" s="21">
        <v>0</v>
      </c>
      <c r="DC161" s="21">
        <v>60</v>
      </c>
      <c r="DD161" s="21">
        <v>25</v>
      </c>
      <c r="DE161" s="21">
        <v>50</v>
      </c>
      <c r="DF161" s="21">
        <v>80</v>
      </c>
      <c r="DG161" s="21">
        <v>40</v>
      </c>
      <c r="DH161" s="21">
        <v>400</v>
      </c>
      <c r="DI161" s="21">
        <v>80</v>
      </c>
      <c r="DJ161" s="17" t="s">
        <v>870</v>
      </c>
      <c r="DK161" s="17" t="s">
        <v>409</v>
      </c>
      <c r="DL161" s="22">
        <v>150</v>
      </c>
      <c r="DM161" s="17" t="s">
        <v>1106</v>
      </c>
      <c r="DN161" s="23"/>
      <c r="DO161" s="23"/>
      <c r="DP161" s="23"/>
      <c r="DQ161" s="23"/>
      <c r="DR161" s="23"/>
      <c r="DS161" s="24" t="s">
        <v>182</v>
      </c>
      <c r="DT161" s="25" t="s">
        <v>183</v>
      </c>
      <c r="DU161" s="25" t="s">
        <v>183</v>
      </c>
      <c r="DV161" s="25" t="s">
        <v>183</v>
      </c>
      <c r="DW161" s="24" t="s">
        <v>182</v>
      </c>
      <c r="DX161" s="23"/>
      <c r="DY161" s="23"/>
      <c r="DZ161" s="17" t="s">
        <v>1107</v>
      </c>
      <c r="EA161" s="17" t="s">
        <v>1108</v>
      </c>
      <c r="EB161" s="26" t="s">
        <v>186</v>
      </c>
      <c r="EC161" s="17" t="s">
        <v>1109</v>
      </c>
      <c r="ED161" s="27" t="s">
        <v>327</v>
      </c>
      <c r="EE161" s="22">
        <v>3</v>
      </c>
      <c r="EF161" s="49" t="s">
        <v>328</v>
      </c>
    </row>
    <row r="162" spans="1:136" ht="15" customHeight="1" x14ac:dyDescent="0.25">
      <c r="A162" s="16" t="s">
        <v>939</v>
      </c>
      <c r="B162" s="29" t="s">
        <v>409</v>
      </c>
      <c r="C162" s="29" t="s">
        <v>940</v>
      </c>
      <c r="D162" s="30">
        <v>28</v>
      </c>
      <c r="E162" s="30">
        <v>0.8</v>
      </c>
      <c r="F162" s="30">
        <v>0.1</v>
      </c>
      <c r="G162" s="30">
        <v>1.2</v>
      </c>
      <c r="H162" s="30">
        <v>3.6</v>
      </c>
      <c r="I162" s="30">
        <v>23</v>
      </c>
      <c r="J162" s="30">
        <v>0.15</v>
      </c>
      <c r="K162" s="30">
        <v>11</v>
      </c>
      <c r="L162" s="30">
        <v>21</v>
      </c>
      <c r="M162" s="30">
        <v>165</v>
      </c>
      <c r="N162" s="30">
        <v>2</v>
      </c>
      <c r="O162" s="30">
        <v>0.08</v>
      </c>
      <c r="P162" s="30">
        <v>0.04</v>
      </c>
      <c r="Q162" s="30">
        <v>5.6000000000000001E-2</v>
      </c>
      <c r="R162" s="30">
        <v>0</v>
      </c>
      <c r="S162" s="30">
        <v>2</v>
      </c>
      <c r="T162" s="30">
        <v>0.2</v>
      </c>
      <c r="U162" s="30">
        <v>33</v>
      </c>
      <c r="V162" s="30">
        <v>2.5000000000000001E-2</v>
      </c>
      <c r="W162" s="30">
        <v>0.01</v>
      </c>
      <c r="X162" s="30">
        <v>0.1</v>
      </c>
      <c r="Y162" s="30">
        <v>7.0000000000000007E-2</v>
      </c>
      <c r="Z162" s="30">
        <v>0</v>
      </c>
      <c r="AA162" s="30">
        <v>46</v>
      </c>
      <c r="AB162" s="31">
        <v>2242</v>
      </c>
      <c r="AC162" s="31" t="s">
        <v>941</v>
      </c>
      <c r="AD162" s="31" t="s">
        <v>942</v>
      </c>
      <c r="AE162" s="31" t="s">
        <v>715</v>
      </c>
      <c r="AF162" s="31" t="s">
        <v>943</v>
      </c>
      <c r="AG162" s="31" t="s">
        <v>944</v>
      </c>
      <c r="AH162" s="31" t="s">
        <v>945</v>
      </c>
      <c r="AI162" s="31" t="s">
        <v>155</v>
      </c>
      <c r="AJ162" s="31" t="s">
        <v>337</v>
      </c>
      <c r="AK162" s="31" t="s">
        <v>157</v>
      </c>
      <c r="AL162" s="31" t="s">
        <v>314</v>
      </c>
      <c r="AM162" s="31"/>
      <c r="AN162" s="31" t="s">
        <v>338</v>
      </c>
      <c r="AO162" s="31" t="s">
        <v>933</v>
      </c>
      <c r="AP162" s="31" t="s">
        <v>419</v>
      </c>
      <c r="AQ162" s="31" t="s">
        <v>162</v>
      </c>
      <c r="AR162" s="31">
        <v>26</v>
      </c>
      <c r="AS162" s="31">
        <v>32</v>
      </c>
      <c r="AT162" s="31">
        <v>13</v>
      </c>
      <c r="AU162" s="31">
        <v>38</v>
      </c>
      <c r="AV162" s="31">
        <v>2200</v>
      </c>
      <c r="AW162" s="31">
        <v>2700</v>
      </c>
      <c r="AX162" s="31">
        <v>700</v>
      </c>
      <c r="AY162" s="31">
        <v>3700</v>
      </c>
      <c r="AZ162" s="31">
        <v>6</v>
      </c>
      <c r="BA162" s="31">
        <v>6.5</v>
      </c>
      <c r="BB162" s="31">
        <v>4.8</v>
      </c>
      <c r="BC162" s="31">
        <v>8.3000000000000007</v>
      </c>
      <c r="BD162" s="31">
        <v>10</v>
      </c>
      <c r="BE162" s="31"/>
      <c r="BF162" s="31">
        <v>30</v>
      </c>
      <c r="BG162" s="31">
        <v>30</v>
      </c>
      <c r="BH162" s="31">
        <v>2200</v>
      </c>
      <c r="BI162" s="31" t="s">
        <v>163</v>
      </c>
      <c r="BJ162" s="31" t="s">
        <v>163</v>
      </c>
      <c r="BK162" s="31" t="s">
        <v>163</v>
      </c>
      <c r="BL162" s="31" t="s">
        <v>164</v>
      </c>
      <c r="BM162" s="31" t="s">
        <v>166</v>
      </c>
      <c r="BN162" s="31" t="s">
        <v>166</v>
      </c>
      <c r="BO162" s="60" t="s">
        <v>250</v>
      </c>
      <c r="BP162" s="60" t="s">
        <v>203</v>
      </c>
      <c r="BQ162" s="60" t="s">
        <v>170</v>
      </c>
      <c r="BR162" s="60" t="s">
        <v>230</v>
      </c>
      <c r="BS162" s="60"/>
      <c r="BT162" s="60"/>
      <c r="BU162" s="60" t="s">
        <v>171</v>
      </c>
      <c r="BV162" s="60" t="s">
        <v>171</v>
      </c>
      <c r="BW162" s="60" t="s">
        <v>172</v>
      </c>
      <c r="BX162" s="60" t="s">
        <v>172</v>
      </c>
      <c r="BY162" s="60"/>
      <c r="BZ162" s="60"/>
      <c r="CA162" s="60" t="s">
        <v>508</v>
      </c>
      <c r="CB162" s="60" t="s">
        <v>583</v>
      </c>
      <c r="CC162" s="60"/>
      <c r="CD162" s="60"/>
      <c r="CE162" s="60"/>
      <c r="CF162" s="60"/>
      <c r="CG162" s="60">
        <v>180</v>
      </c>
      <c r="CH162" s="60">
        <v>365</v>
      </c>
      <c r="CI162" s="32">
        <v>3</v>
      </c>
      <c r="CJ162" s="32">
        <v>5</v>
      </c>
      <c r="CK162" s="32">
        <v>2.5</v>
      </c>
      <c r="CL162" s="32">
        <v>5</v>
      </c>
      <c r="CM162" s="33" t="s">
        <v>721</v>
      </c>
      <c r="CN162" s="34">
        <v>6</v>
      </c>
      <c r="CO162" s="34">
        <v>30</v>
      </c>
      <c r="CP162" s="35" t="s">
        <v>946</v>
      </c>
      <c r="CQ162" s="35" t="s">
        <v>209</v>
      </c>
      <c r="CR162" s="36">
        <v>0</v>
      </c>
      <c r="CS162" s="36">
        <v>0</v>
      </c>
      <c r="CT162" s="36">
        <v>8</v>
      </c>
      <c r="CU162" s="36">
        <v>4</v>
      </c>
      <c r="CV162" s="36">
        <v>8</v>
      </c>
      <c r="CW162" s="36">
        <v>10</v>
      </c>
      <c r="CX162" s="36">
        <v>6</v>
      </c>
      <c r="CY162" s="36">
        <v>25</v>
      </c>
      <c r="CZ162" s="36">
        <v>8</v>
      </c>
      <c r="DA162" s="37">
        <v>0</v>
      </c>
      <c r="DB162" s="37">
        <v>0</v>
      </c>
      <c r="DC162" s="37">
        <v>60</v>
      </c>
      <c r="DD162" s="37">
        <v>25</v>
      </c>
      <c r="DE162" s="37">
        <v>50</v>
      </c>
      <c r="DF162" s="37">
        <v>80</v>
      </c>
      <c r="DG162" s="37">
        <v>40</v>
      </c>
      <c r="DH162" s="37">
        <v>400</v>
      </c>
      <c r="DI162" s="37">
        <v>80</v>
      </c>
      <c r="DJ162" s="38" t="s">
        <v>947</v>
      </c>
      <c r="DK162" s="39" t="s">
        <v>409</v>
      </c>
      <c r="DL162" s="40">
        <v>150</v>
      </c>
      <c r="DM162" s="39" t="s">
        <v>948</v>
      </c>
      <c r="DN162" s="41"/>
      <c r="DO162" s="41"/>
      <c r="DP162" s="24" t="s">
        <v>182</v>
      </c>
      <c r="DQ162" s="25" t="s">
        <v>183</v>
      </c>
      <c r="DR162" s="25" t="s">
        <v>183</v>
      </c>
      <c r="DS162" s="25" t="s">
        <v>183</v>
      </c>
      <c r="DT162" s="25" t="s">
        <v>183</v>
      </c>
      <c r="DU162" s="24" t="s">
        <v>182</v>
      </c>
      <c r="DV162" s="41"/>
      <c r="DW162" s="41"/>
      <c r="DX162" s="41"/>
      <c r="DY162" s="41"/>
      <c r="DZ162" s="42" t="s">
        <v>949</v>
      </c>
      <c r="EA162" s="42" t="s">
        <v>950</v>
      </c>
      <c r="EB162" s="26" t="s">
        <v>186</v>
      </c>
      <c r="EC162" s="44" t="s">
        <v>951</v>
      </c>
      <c r="ED162" s="45" t="s">
        <v>274</v>
      </c>
      <c r="EE162" s="46">
        <v>3</v>
      </c>
      <c r="EF162" s="53" t="s">
        <v>952</v>
      </c>
    </row>
    <row r="163" spans="1:136" ht="15" customHeight="1" x14ac:dyDescent="0.25">
      <c r="A163" s="16" t="s">
        <v>1388</v>
      </c>
      <c r="B163" s="29" t="s">
        <v>409</v>
      </c>
      <c r="C163" s="29" t="s">
        <v>1389</v>
      </c>
      <c r="D163" s="30">
        <v>41.1</v>
      </c>
      <c r="E163" s="30">
        <v>0.6</v>
      </c>
      <c r="F163" s="30">
        <v>0.1</v>
      </c>
      <c r="G163" s="30">
        <v>7.8</v>
      </c>
      <c r="H163" s="30">
        <v>2</v>
      </c>
      <c r="I163" s="30">
        <v>22</v>
      </c>
      <c r="J163" s="30">
        <v>0.3</v>
      </c>
      <c r="K163" s="30">
        <v>10</v>
      </c>
      <c r="L163" s="30">
        <v>19</v>
      </c>
      <c r="M163" s="30">
        <v>140</v>
      </c>
      <c r="N163" s="30">
        <v>4</v>
      </c>
      <c r="O163" s="30">
        <v>0.3</v>
      </c>
      <c r="P163" s="30"/>
      <c r="Q163" s="30"/>
      <c r="R163" s="30">
        <v>0</v>
      </c>
      <c r="S163" s="30">
        <v>49</v>
      </c>
      <c r="T163" s="30">
        <v>0.1</v>
      </c>
      <c r="U163" s="30">
        <v>28</v>
      </c>
      <c r="V163" s="30">
        <v>0.05</v>
      </c>
      <c r="W163" s="30">
        <v>0.03</v>
      </c>
      <c r="X163" s="30">
        <v>0.3</v>
      </c>
      <c r="Y163" s="30">
        <v>7.0000000000000007E-2</v>
      </c>
      <c r="Z163" s="30">
        <v>0</v>
      </c>
      <c r="AA163" s="30">
        <v>26</v>
      </c>
      <c r="AB163" s="31">
        <v>711</v>
      </c>
      <c r="AC163" s="31" t="s">
        <v>1390</v>
      </c>
      <c r="AD163" s="31"/>
      <c r="AE163" s="31" t="s">
        <v>715</v>
      </c>
      <c r="AF163" s="31" t="s">
        <v>1391</v>
      </c>
      <c r="AG163" s="31" t="s">
        <v>1392</v>
      </c>
      <c r="AH163" s="31" t="s">
        <v>1393</v>
      </c>
      <c r="AI163" s="31" t="s">
        <v>155</v>
      </c>
      <c r="AJ163" s="31" t="s">
        <v>337</v>
      </c>
      <c r="AK163" s="31" t="s">
        <v>157</v>
      </c>
      <c r="AL163" s="31" t="s">
        <v>314</v>
      </c>
      <c r="AM163" s="31"/>
      <c r="AN163" s="31" t="s">
        <v>338</v>
      </c>
      <c r="AO163" s="31" t="s">
        <v>933</v>
      </c>
      <c r="AP163" s="31" t="s">
        <v>419</v>
      </c>
      <c r="AQ163" s="31" t="s">
        <v>162</v>
      </c>
      <c r="AR163" s="31">
        <v>25</v>
      </c>
      <c r="AS163" s="31">
        <v>30</v>
      </c>
      <c r="AT163" s="31">
        <v>12</v>
      </c>
      <c r="AU163" s="31">
        <v>42</v>
      </c>
      <c r="AV163" s="31">
        <v>1200</v>
      </c>
      <c r="AW163" s="31">
        <v>1400</v>
      </c>
      <c r="AX163" s="31">
        <v>350</v>
      </c>
      <c r="AY163" s="31">
        <v>2000</v>
      </c>
      <c r="AZ163" s="31">
        <v>6</v>
      </c>
      <c r="BA163" s="31">
        <v>7</v>
      </c>
      <c r="BB163" s="31">
        <v>5.5</v>
      </c>
      <c r="BC163" s="31">
        <v>8.3000000000000007</v>
      </c>
      <c r="BD163" s="31"/>
      <c r="BE163" s="31"/>
      <c r="BF163" s="31">
        <v>30</v>
      </c>
      <c r="BG163" s="31">
        <v>40</v>
      </c>
      <c r="BH163" s="31">
        <v>1000</v>
      </c>
      <c r="BI163" s="31" t="s">
        <v>163</v>
      </c>
      <c r="BJ163" s="31" t="s">
        <v>163</v>
      </c>
      <c r="BK163" s="31" t="s">
        <v>163</v>
      </c>
      <c r="BL163" s="31" t="s">
        <v>164</v>
      </c>
      <c r="BM163" s="31" t="s">
        <v>288</v>
      </c>
      <c r="BN163" s="31" t="s">
        <v>166</v>
      </c>
      <c r="BO163" s="60" t="s">
        <v>250</v>
      </c>
      <c r="BP163" s="60" t="s">
        <v>203</v>
      </c>
      <c r="BQ163" s="60" t="s">
        <v>170</v>
      </c>
      <c r="BR163" s="60" t="s">
        <v>230</v>
      </c>
      <c r="BS163" s="60"/>
      <c r="BT163" s="60"/>
      <c r="BU163" s="60" t="s">
        <v>171</v>
      </c>
      <c r="BV163" s="60" t="s">
        <v>171</v>
      </c>
      <c r="BW163" s="60" t="s">
        <v>172</v>
      </c>
      <c r="BX163" s="60" t="s">
        <v>882</v>
      </c>
      <c r="BY163" s="60"/>
      <c r="BZ163" s="60"/>
      <c r="CA163" s="60" t="s">
        <v>173</v>
      </c>
      <c r="CB163" s="60" t="s">
        <v>934</v>
      </c>
      <c r="CC163" s="60"/>
      <c r="CD163" s="60"/>
      <c r="CE163" s="60"/>
      <c r="CF163" s="60"/>
      <c r="CG163" s="60">
        <v>140</v>
      </c>
      <c r="CH163" s="60">
        <v>330</v>
      </c>
      <c r="CI163" s="32">
        <v>4</v>
      </c>
      <c r="CJ163" s="32">
        <v>8</v>
      </c>
      <c r="CK163" s="32">
        <v>3</v>
      </c>
      <c r="CL163" s="32">
        <v>7</v>
      </c>
      <c r="CM163" s="33" t="s">
        <v>868</v>
      </c>
      <c r="CN163" s="34">
        <v>10</v>
      </c>
      <c r="CO163" s="34">
        <v>40</v>
      </c>
      <c r="CP163" s="35" t="s">
        <v>1394</v>
      </c>
      <c r="CQ163" s="35" t="s">
        <v>209</v>
      </c>
      <c r="CR163" s="36">
        <v>0</v>
      </c>
      <c r="CS163" s="36">
        <v>0</v>
      </c>
      <c r="CT163" s="36">
        <v>8</v>
      </c>
      <c r="CU163" s="36">
        <v>4</v>
      </c>
      <c r="CV163" s="36">
        <v>8</v>
      </c>
      <c r="CW163" s="36">
        <v>10</v>
      </c>
      <c r="CX163" s="36">
        <v>6</v>
      </c>
      <c r="CY163" s="36">
        <v>20</v>
      </c>
      <c r="CZ163" s="36">
        <v>8</v>
      </c>
      <c r="DA163" s="37">
        <v>0</v>
      </c>
      <c r="DB163" s="37">
        <v>0</v>
      </c>
      <c r="DC163" s="37">
        <v>60</v>
      </c>
      <c r="DD163" s="37">
        <v>25</v>
      </c>
      <c r="DE163" s="37">
        <v>50</v>
      </c>
      <c r="DF163" s="37">
        <v>80</v>
      </c>
      <c r="DG163" s="37">
        <v>40</v>
      </c>
      <c r="DH163" s="37">
        <v>350</v>
      </c>
      <c r="DI163" s="37">
        <v>80</v>
      </c>
      <c r="DJ163" s="38" t="s">
        <v>947</v>
      </c>
      <c r="DK163" s="39" t="s">
        <v>409</v>
      </c>
      <c r="DL163" s="40">
        <v>150</v>
      </c>
      <c r="DM163" s="39" t="s">
        <v>1395</v>
      </c>
      <c r="DN163" s="41"/>
      <c r="DO163" s="41"/>
      <c r="DP163" s="41"/>
      <c r="DQ163" s="41"/>
      <c r="DR163" s="24" t="s">
        <v>182</v>
      </c>
      <c r="DS163" s="25" t="s">
        <v>183</v>
      </c>
      <c r="DT163" s="25" t="s">
        <v>183</v>
      </c>
      <c r="DU163" s="25" t="s">
        <v>183</v>
      </c>
      <c r="DV163" s="24" t="s">
        <v>182</v>
      </c>
      <c r="DW163" s="41"/>
      <c r="DX163" s="41"/>
      <c r="DY163" s="41"/>
      <c r="DZ163" s="42" t="s">
        <v>1396</v>
      </c>
      <c r="EA163" s="42" t="s">
        <v>1397</v>
      </c>
      <c r="EB163" s="26" t="s">
        <v>186</v>
      </c>
      <c r="EC163" s="44" t="s">
        <v>874</v>
      </c>
      <c r="ED163" s="45" t="s">
        <v>353</v>
      </c>
      <c r="EE163" s="46">
        <v>2</v>
      </c>
      <c r="EF163" s="53" t="s">
        <v>275</v>
      </c>
    </row>
    <row r="164" spans="1:136" ht="15" customHeight="1" x14ac:dyDescent="0.25">
      <c r="A164" s="16" t="s">
        <v>517</v>
      </c>
      <c r="B164" s="17" t="s">
        <v>409</v>
      </c>
      <c r="C164" s="17" t="s">
        <v>518</v>
      </c>
      <c r="D164" s="18">
        <v>63</v>
      </c>
      <c r="E164" s="18">
        <v>1.4</v>
      </c>
      <c r="F164" s="18">
        <v>15.38</v>
      </c>
      <c r="G164" s="18">
        <v>0</v>
      </c>
      <c r="H164" s="18">
        <v>0.41</v>
      </c>
      <c r="I164" s="18">
        <v>55</v>
      </c>
      <c r="J164" s="18">
        <v>1.54</v>
      </c>
      <c r="K164" s="18">
        <v>24</v>
      </c>
      <c r="L164" s="18">
        <v>59</v>
      </c>
      <c r="M164" s="18">
        <v>322</v>
      </c>
      <c r="N164" s="18">
        <v>2</v>
      </c>
      <c r="O164" s="18">
        <v>0.27</v>
      </c>
      <c r="P164" s="18">
        <v>8.5999999999999993E-2</v>
      </c>
      <c r="Q164" s="18">
        <v>0.25600000000000001</v>
      </c>
      <c r="R164" s="18">
        <v>0</v>
      </c>
      <c r="S164" s="18">
        <v>230</v>
      </c>
      <c r="T164" s="18">
        <v>1</v>
      </c>
      <c r="U164" s="18">
        <v>181</v>
      </c>
      <c r="V164" s="18">
        <v>0.05</v>
      </c>
      <c r="W164" s="18">
        <v>0.05</v>
      </c>
      <c r="X164" s="18">
        <v>0.3</v>
      </c>
      <c r="Y164" s="18">
        <v>6.6000000000000003E-2</v>
      </c>
      <c r="Z164" s="18">
        <v>0</v>
      </c>
      <c r="AA164" s="18">
        <v>0</v>
      </c>
      <c r="AB164" s="18">
        <v>9282</v>
      </c>
      <c r="AC164" s="18" t="s">
        <v>519</v>
      </c>
      <c r="AD164" s="18" t="s">
        <v>221</v>
      </c>
      <c r="AE164" s="18" t="s">
        <v>520</v>
      </c>
      <c r="AF164" s="18">
        <v>0</v>
      </c>
      <c r="AG164" s="18" t="s">
        <v>521</v>
      </c>
      <c r="AH164" s="18" t="s">
        <v>522</v>
      </c>
      <c r="AI164" s="18" t="s">
        <v>226</v>
      </c>
      <c r="AJ164" s="18" t="s">
        <v>523</v>
      </c>
      <c r="AK164" s="18" t="s">
        <v>157</v>
      </c>
      <c r="AL164" s="18" t="s">
        <v>314</v>
      </c>
      <c r="AM164" s="18">
        <v>0</v>
      </c>
      <c r="AN164" s="18" t="s">
        <v>483</v>
      </c>
      <c r="AO164" s="18" t="s">
        <v>419</v>
      </c>
      <c r="AP164" s="18" t="s">
        <v>419</v>
      </c>
      <c r="AQ164" s="18" t="s">
        <v>162</v>
      </c>
      <c r="AR164" s="18">
        <v>17</v>
      </c>
      <c r="AS164" s="18">
        <v>25</v>
      </c>
      <c r="AT164" s="18">
        <v>5</v>
      </c>
      <c r="AU164" s="18">
        <v>30</v>
      </c>
      <c r="AV164" s="18">
        <v>700</v>
      </c>
      <c r="AW164" s="18">
        <v>900</v>
      </c>
      <c r="AX164" s="18">
        <v>500</v>
      </c>
      <c r="AY164" s="18">
        <v>1100</v>
      </c>
      <c r="AZ164" s="18">
        <v>6.5</v>
      </c>
      <c r="BA164" s="18">
        <v>7.5</v>
      </c>
      <c r="BB164" s="18">
        <v>6</v>
      </c>
      <c r="BC164" s="18">
        <v>8</v>
      </c>
      <c r="BD164" s="18">
        <v>50</v>
      </c>
      <c r="BE164" s="18">
        <v>45</v>
      </c>
      <c r="BF164" s="18">
        <v>65</v>
      </c>
      <c r="BG164" s="18">
        <v>68</v>
      </c>
      <c r="BH164" s="18">
        <v>1500</v>
      </c>
      <c r="BI164" s="18" t="s">
        <v>163</v>
      </c>
      <c r="BJ164" s="18" t="s">
        <v>164</v>
      </c>
      <c r="BK164" s="18" t="s">
        <v>163</v>
      </c>
      <c r="BL164" s="18" t="s">
        <v>165</v>
      </c>
      <c r="BM164" s="18" t="s">
        <v>288</v>
      </c>
      <c r="BN164" s="18" t="s">
        <v>166</v>
      </c>
      <c r="BO164" t="s">
        <v>202</v>
      </c>
      <c r="BP164" t="s">
        <v>203</v>
      </c>
      <c r="BQ164" t="s">
        <v>169</v>
      </c>
      <c r="BR164" t="s">
        <v>170</v>
      </c>
      <c r="BS164">
        <v>0</v>
      </c>
      <c r="BT164">
        <v>0</v>
      </c>
      <c r="BU164" t="s">
        <v>171</v>
      </c>
      <c r="BV164" t="s">
        <v>171</v>
      </c>
      <c r="BW164" t="s">
        <v>172</v>
      </c>
      <c r="BX164" t="s">
        <v>172</v>
      </c>
      <c r="BY164">
        <v>-28</v>
      </c>
      <c r="BZ164">
        <v>-1</v>
      </c>
      <c r="CA164" t="s">
        <v>204</v>
      </c>
      <c r="CB164" t="s">
        <v>524</v>
      </c>
      <c r="CC164">
        <v>0</v>
      </c>
      <c r="CD164">
        <v>0</v>
      </c>
      <c r="CE164">
        <v>0</v>
      </c>
      <c r="CF164">
        <v>0</v>
      </c>
      <c r="CG164">
        <v>150</v>
      </c>
      <c r="CH164">
        <v>180</v>
      </c>
      <c r="CI164" s="19">
        <v>1</v>
      </c>
      <c r="CJ164" s="19">
        <v>1.8</v>
      </c>
      <c r="CK164" s="19">
        <v>1</v>
      </c>
      <c r="CL164" s="19">
        <v>1.5</v>
      </c>
      <c r="CM164" s="17" t="s">
        <v>525</v>
      </c>
      <c r="CN164" s="20">
        <v>3</v>
      </c>
      <c r="CO164" s="20">
        <v>15</v>
      </c>
      <c r="CP164" s="17" t="s">
        <v>526</v>
      </c>
      <c r="CQ164" s="17" t="s">
        <v>209</v>
      </c>
      <c r="CR164" s="21">
        <v>0</v>
      </c>
      <c r="CS164" s="21">
        <v>5</v>
      </c>
      <c r="CT164" s="21">
        <v>8</v>
      </c>
      <c r="CU164" s="21">
        <v>4</v>
      </c>
      <c r="CV164" s="21">
        <v>6</v>
      </c>
      <c r="CW164" s="21">
        <v>15</v>
      </c>
      <c r="CX164" s="21">
        <v>4</v>
      </c>
      <c r="CY164" s="21">
        <v>10</v>
      </c>
      <c r="CZ164" s="21">
        <v>5</v>
      </c>
      <c r="DA164" s="21">
        <v>0</v>
      </c>
      <c r="DB164" s="21">
        <v>60</v>
      </c>
      <c r="DC164" s="21">
        <v>80</v>
      </c>
      <c r="DD164" s="21">
        <v>25</v>
      </c>
      <c r="DE164" s="21">
        <v>40</v>
      </c>
      <c r="DF164" s="21">
        <v>120</v>
      </c>
      <c r="DG164" s="21">
        <v>30</v>
      </c>
      <c r="DH164" s="21">
        <v>300</v>
      </c>
      <c r="DI164" s="21">
        <v>60</v>
      </c>
      <c r="DJ164" s="17" t="s">
        <v>527</v>
      </c>
      <c r="DK164" s="17" t="s">
        <v>409</v>
      </c>
      <c r="DL164" s="22">
        <v>150</v>
      </c>
      <c r="DM164" s="17" t="s">
        <v>528</v>
      </c>
      <c r="DN164" s="25" t="s">
        <v>183</v>
      </c>
      <c r="DO164" s="24" t="s">
        <v>182</v>
      </c>
      <c r="DP164" s="23"/>
      <c r="DQ164" s="23"/>
      <c r="DR164" s="23"/>
      <c r="DS164" s="23"/>
      <c r="DT164" s="23"/>
      <c r="DU164" s="23"/>
      <c r="DV164" s="23"/>
      <c r="DW164" s="23"/>
      <c r="DX164" s="24" t="s">
        <v>182</v>
      </c>
      <c r="DY164" s="25" t="s">
        <v>183</v>
      </c>
      <c r="DZ164" s="17" t="s">
        <v>529</v>
      </c>
      <c r="EA164" s="17" t="s">
        <v>530</v>
      </c>
      <c r="EB164" s="52" t="s">
        <v>301</v>
      </c>
      <c r="EC164" s="17" t="s">
        <v>495</v>
      </c>
      <c r="ED164" s="27" t="s">
        <v>496</v>
      </c>
      <c r="EE164" s="22">
        <v>5</v>
      </c>
      <c r="EF164" s="55" t="s">
        <v>531</v>
      </c>
    </row>
    <row r="165" spans="1:136" ht="15" customHeight="1" x14ac:dyDescent="0.25">
      <c r="A165" s="16" t="s">
        <v>758</v>
      </c>
      <c r="B165" s="29" t="s">
        <v>409</v>
      </c>
      <c r="C165" s="29" t="s">
        <v>759</v>
      </c>
      <c r="D165" s="30">
        <v>66.900000000000006</v>
      </c>
      <c r="E165" s="30">
        <v>1</v>
      </c>
      <c r="F165" s="30">
        <v>0.2</v>
      </c>
      <c r="G165" s="30">
        <v>14.3</v>
      </c>
      <c r="H165" s="30">
        <v>2</v>
      </c>
      <c r="I165" s="30">
        <v>16</v>
      </c>
      <c r="J165" s="30">
        <v>0</v>
      </c>
      <c r="K165" s="30">
        <v>27</v>
      </c>
      <c r="L165" s="30">
        <v>18</v>
      </c>
      <c r="M165" s="30">
        <v>364</v>
      </c>
      <c r="N165" s="30">
        <v>45</v>
      </c>
      <c r="O165" s="30">
        <v>0</v>
      </c>
      <c r="P165" s="30">
        <v>0</v>
      </c>
      <c r="Q165" s="30">
        <v>0</v>
      </c>
      <c r="R165" s="30">
        <v>0</v>
      </c>
      <c r="S165" s="30">
        <v>13</v>
      </c>
      <c r="T165" s="30">
        <v>0.82</v>
      </c>
      <c r="U165" s="30">
        <v>30</v>
      </c>
      <c r="V165" s="30">
        <v>0</v>
      </c>
      <c r="W165" s="30">
        <v>0</v>
      </c>
      <c r="X165" s="30">
        <v>0.57999999999999996</v>
      </c>
      <c r="Y165" s="30">
        <v>0.06</v>
      </c>
      <c r="Z165" s="30">
        <v>0</v>
      </c>
      <c r="AA165" s="30">
        <v>29</v>
      </c>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60"/>
      <c r="BP165" s="60"/>
      <c r="BQ165" s="60"/>
      <c r="BR165" s="60"/>
      <c r="BS165" s="60"/>
      <c r="BT165" s="60"/>
      <c r="BU165" s="60"/>
      <c r="BV165" s="60"/>
      <c r="BW165" s="60"/>
      <c r="BX165" s="60"/>
      <c r="BY165" s="60"/>
      <c r="BZ165" s="60"/>
      <c r="CA165" s="60"/>
      <c r="CB165" s="60"/>
      <c r="CC165" s="60"/>
      <c r="CD165" s="60"/>
      <c r="CE165" s="60"/>
      <c r="CF165" s="60"/>
      <c r="CG165" s="60"/>
      <c r="CH165" s="60"/>
      <c r="CI165" s="19">
        <v>8</v>
      </c>
      <c r="CJ165" s="19">
        <v>18</v>
      </c>
      <c r="CK165" s="19">
        <v>3</v>
      </c>
      <c r="CL165" s="19">
        <v>6</v>
      </c>
      <c r="CM165" s="17" t="s">
        <v>760</v>
      </c>
      <c r="CN165" s="20">
        <v>2</v>
      </c>
      <c r="CO165" s="20">
        <v>10</v>
      </c>
      <c r="CP165" s="17" t="s">
        <v>761</v>
      </c>
      <c r="CQ165" s="17" t="s">
        <v>762</v>
      </c>
      <c r="CR165" s="21">
        <v>0</v>
      </c>
      <c r="CS165" s="21">
        <v>0</v>
      </c>
      <c r="CT165" s="21">
        <v>5</v>
      </c>
      <c r="CU165" s="21">
        <v>3</v>
      </c>
      <c r="CV165" s="21">
        <v>4</v>
      </c>
      <c r="CW165" s="21">
        <v>5</v>
      </c>
      <c r="CX165" s="21">
        <v>3</v>
      </c>
      <c r="CY165" s="21">
        <v>15</v>
      </c>
      <c r="CZ165" s="21">
        <v>5</v>
      </c>
      <c r="DA165" s="21">
        <v>0</v>
      </c>
      <c r="DB165" s="21">
        <v>0</v>
      </c>
      <c r="DC165" s="21">
        <v>40</v>
      </c>
      <c r="DD165" s="21">
        <v>20</v>
      </c>
      <c r="DE165" s="21">
        <v>30</v>
      </c>
      <c r="DF165" s="21">
        <v>40</v>
      </c>
      <c r="DG165" s="21">
        <v>20</v>
      </c>
      <c r="DH165" s="21">
        <v>250</v>
      </c>
      <c r="DI165" s="21">
        <v>60</v>
      </c>
      <c r="DJ165" s="17" t="s">
        <v>763</v>
      </c>
      <c r="DK165" s="17" t="s">
        <v>409</v>
      </c>
      <c r="DL165" s="22">
        <v>150</v>
      </c>
      <c r="DM165" s="17" t="s">
        <v>764</v>
      </c>
      <c r="DN165" s="24" t="s">
        <v>182</v>
      </c>
      <c r="DO165" s="25" t="s">
        <v>183</v>
      </c>
      <c r="DP165" s="25" t="s">
        <v>183</v>
      </c>
      <c r="DQ165" s="25" t="s">
        <v>183</v>
      </c>
      <c r="DR165" s="24" t="s">
        <v>182</v>
      </c>
      <c r="DS165" s="23"/>
      <c r="DT165" s="23"/>
      <c r="DU165" s="23"/>
      <c r="DV165" s="23"/>
      <c r="DW165" s="23"/>
      <c r="DX165" s="23"/>
      <c r="DY165" s="23"/>
      <c r="DZ165" s="17" t="s">
        <v>765</v>
      </c>
      <c r="EA165" s="17" t="s">
        <v>766</v>
      </c>
      <c r="EB165" s="52" t="s">
        <v>301</v>
      </c>
      <c r="EC165" s="17" t="s">
        <v>767</v>
      </c>
      <c r="ED165" s="27" t="s">
        <v>496</v>
      </c>
      <c r="EE165" s="22">
        <v>5</v>
      </c>
      <c r="EF165" s="54" t="s">
        <v>304</v>
      </c>
    </row>
    <row r="166" spans="1:136" ht="15" customHeight="1" x14ac:dyDescent="0.25">
      <c r="A166" s="16" t="s">
        <v>1455</v>
      </c>
      <c r="B166" s="17" t="s">
        <v>409</v>
      </c>
      <c r="C166" s="17" t="s">
        <v>1456</v>
      </c>
      <c r="D166" s="18">
        <v>16.5</v>
      </c>
      <c r="E166" s="18">
        <v>1</v>
      </c>
      <c r="F166" s="18">
        <v>0.2</v>
      </c>
      <c r="G166" s="18">
        <v>2.2000000000000002</v>
      </c>
      <c r="H166" s="18">
        <v>1</v>
      </c>
      <c r="I166" s="18">
        <v>17</v>
      </c>
      <c r="J166" s="18">
        <v>0.43</v>
      </c>
      <c r="K166" s="18">
        <v>17</v>
      </c>
      <c r="L166" s="18">
        <v>35</v>
      </c>
      <c r="M166" s="18">
        <v>212</v>
      </c>
      <c r="N166" s="18">
        <v>0</v>
      </c>
      <c r="O166" s="18">
        <v>0.32</v>
      </c>
      <c r="P166" s="18">
        <v>6.3E-2</v>
      </c>
      <c r="Q166" s="18">
        <v>0.13300000000000001</v>
      </c>
      <c r="R166" s="18">
        <v>0</v>
      </c>
      <c r="S166" s="18">
        <v>34</v>
      </c>
      <c r="T166" s="18">
        <v>0.26</v>
      </c>
      <c r="U166" s="18">
        <v>18</v>
      </c>
      <c r="V166" s="18">
        <v>3.5000000000000003E-2</v>
      </c>
      <c r="W166" s="18">
        <v>0.05</v>
      </c>
      <c r="X166" s="18">
        <v>0.3</v>
      </c>
      <c r="Y166" s="18">
        <v>0.06</v>
      </c>
      <c r="Z166" s="18">
        <v>0</v>
      </c>
      <c r="AA166" s="18">
        <v>14</v>
      </c>
      <c r="AB166" s="18">
        <v>5035</v>
      </c>
      <c r="AC166" s="18" t="s">
        <v>1457</v>
      </c>
      <c r="AD166" s="18" t="s">
        <v>1458</v>
      </c>
      <c r="AE166" s="18" t="s">
        <v>501</v>
      </c>
      <c r="AF166" s="18"/>
      <c r="AG166" s="18" t="s">
        <v>1459</v>
      </c>
      <c r="AH166" s="18" t="s">
        <v>1459</v>
      </c>
      <c r="AI166" s="18" t="s">
        <v>155</v>
      </c>
      <c r="AJ166" s="18" t="s">
        <v>504</v>
      </c>
      <c r="AK166" s="18" t="s">
        <v>505</v>
      </c>
      <c r="AL166" s="18" t="s">
        <v>282</v>
      </c>
      <c r="AM166" s="18" t="s">
        <v>283</v>
      </c>
      <c r="AN166" s="18"/>
      <c r="AO166" s="18" t="s">
        <v>1460</v>
      </c>
      <c r="AP166" s="18" t="s">
        <v>161</v>
      </c>
      <c r="AQ166" s="18" t="s">
        <v>362</v>
      </c>
      <c r="AR166" s="18">
        <v>16</v>
      </c>
      <c r="AS166" s="18">
        <v>28</v>
      </c>
      <c r="AT166" s="18">
        <v>10</v>
      </c>
      <c r="AU166" s="18">
        <v>38</v>
      </c>
      <c r="AV166" s="18">
        <v>1000</v>
      </c>
      <c r="AW166" s="18">
        <v>1600</v>
      </c>
      <c r="AX166" s="18">
        <v>400</v>
      </c>
      <c r="AY166" s="18">
        <v>2800</v>
      </c>
      <c r="AZ166" s="18">
        <v>5.5</v>
      </c>
      <c r="BA166" s="18">
        <v>6.8</v>
      </c>
      <c r="BB166" s="18">
        <v>5</v>
      </c>
      <c r="BC166" s="18">
        <v>7.5</v>
      </c>
      <c r="BD166" s="18">
        <v>10</v>
      </c>
      <c r="BE166" s="18">
        <v>10</v>
      </c>
      <c r="BF166" s="18">
        <v>20</v>
      </c>
      <c r="BG166" s="18">
        <v>20</v>
      </c>
      <c r="BH166" s="18">
        <v>1000</v>
      </c>
      <c r="BI166" s="18" t="s">
        <v>164</v>
      </c>
      <c r="BJ166" s="18" t="s">
        <v>164</v>
      </c>
      <c r="BK166" s="18" t="s">
        <v>163</v>
      </c>
      <c r="BL166" s="18" t="s">
        <v>165</v>
      </c>
      <c r="BM166" s="18" t="s">
        <v>288</v>
      </c>
      <c r="BN166" s="18" t="s">
        <v>201</v>
      </c>
      <c r="BO166" s="59" t="s">
        <v>202</v>
      </c>
      <c r="BP166" s="59" t="s">
        <v>203</v>
      </c>
      <c r="BQ166" s="59" t="s">
        <v>169</v>
      </c>
      <c r="BR166" s="59" t="s">
        <v>230</v>
      </c>
      <c r="BS166" s="59"/>
      <c r="BT166" s="59"/>
      <c r="BU166" s="59" t="s">
        <v>171</v>
      </c>
      <c r="BV166" s="59" t="s">
        <v>171</v>
      </c>
      <c r="BW166" s="59" t="s">
        <v>172</v>
      </c>
      <c r="BX166" s="59" t="s">
        <v>172</v>
      </c>
      <c r="BY166" s="59">
        <v>2</v>
      </c>
      <c r="BZ166" s="59">
        <v>2</v>
      </c>
      <c r="CA166" s="59" t="s">
        <v>173</v>
      </c>
      <c r="CB166" s="59" t="s">
        <v>232</v>
      </c>
      <c r="CC166" s="59"/>
      <c r="CD166" s="59"/>
      <c r="CE166" s="59"/>
      <c r="CF166" s="59"/>
      <c r="CG166" s="59">
        <v>170</v>
      </c>
      <c r="CH166" s="59">
        <v>190</v>
      </c>
      <c r="CI166" s="32">
        <v>0.5</v>
      </c>
      <c r="CJ166" s="32">
        <v>1</v>
      </c>
      <c r="CK166" s="32">
        <v>0.6</v>
      </c>
      <c r="CL166" s="32">
        <v>1.5</v>
      </c>
      <c r="CM166" s="33" t="s">
        <v>1461</v>
      </c>
      <c r="CN166" s="34">
        <v>10</v>
      </c>
      <c r="CO166" s="34">
        <v>70</v>
      </c>
      <c r="CP166" s="35" t="s">
        <v>1462</v>
      </c>
      <c r="CQ166" s="35" t="s">
        <v>178</v>
      </c>
      <c r="CR166" s="36">
        <v>5</v>
      </c>
      <c r="CS166" s="36">
        <v>4</v>
      </c>
      <c r="CT166" s="36">
        <v>5</v>
      </c>
      <c r="CU166" s="36">
        <v>3</v>
      </c>
      <c r="CV166" s="36">
        <v>4</v>
      </c>
      <c r="CW166" s="36">
        <v>2</v>
      </c>
      <c r="CX166" s="36">
        <v>5</v>
      </c>
      <c r="CY166" s="36">
        <v>25</v>
      </c>
      <c r="CZ166" s="36">
        <v>6</v>
      </c>
      <c r="DA166" s="37">
        <v>130</v>
      </c>
      <c r="DB166" s="37">
        <v>100</v>
      </c>
      <c r="DC166" s="37">
        <v>160</v>
      </c>
      <c r="DD166" s="37">
        <v>25</v>
      </c>
      <c r="DE166" s="37">
        <v>35</v>
      </c>
      <c r="DF166" s="37">
        <v>20</v>
      </c>
      <c r="DG166" s="37">
        <v>50</v>
      </c>
      <c r="DH166" s="37">
        <v>500</v>
      </c>
      <c r="DI166" s="37">
        <v>100</v>
      </c>
      <c r="DJ166" s="38" t="s">
        <v>1463</v>
      </c>
      <c r="DK166" s="39" t="s">
        <v>180</v>
      </c>
      <c r="DL166" s="40">
        <v>75</v>
      </c>
      <c r="DM166" s="39" t="s">
        <v>1464</v>
      </c>
      <c r="DN166" s="25" t="s">
        <v>183</v>
      </c>
      <c r="DO166" s="25" t="s">
        <v>183</v>
      </c>
      <c r="DP166" s="25" t="s">
        <v>183</v>
      </c>
      <c r="DQ166" s="24" t="s">
        <v>182</v>
      </c>
      <c r="DR166" s="41"/>
      <c r="DS166" s="41"/>
      <c r="DT166" s="41"/>
      <c r="DU166" s="41"/>
      <c r="DV166" s="41"/>
      <c r="DW166" s="41"/>
      <c r="DX166" s="24" t="s">
        <v>182</v>
      </c>
      <c r="DY166" s="25" t="s">
        <v>183</v>
      </c>
      <c r="DZ166" s="42" t="s">
        <v>1465</v>
      </c>
      <c r="EA166" s="42" t="s">
        <v>709</v>
      </c>
      <c r="EB166" s="43" t="s">
        <v>214</v>
      </c>
      <c r="EC166" s="44" t="s">
        <v>1466</v>
      </c>
      <c r="ED166" s="45" t="s">
        <v>474</v>
      </c>
      <c r="EE166" s="46">
        <v>3</v>
      </c>
      <c r="EF166" s="47" t="s">
        <v>304</v>
      </c>
    </row>
    <row r="167" spans="1:136" ht="15" customHeight="1" x14ac:dyDescent="0.25">
      <c r="A167" s="16" t="s">
        <v>1001</v>
      </c>
      <c r="B167" s="17" t="s">
        <v>409</v>
      </c>
      <c r="C167" s="17" t="s">
        <v>1002</v>
      </c>
      <c r="D167" s="18">
        <v>47.1</v>
      </c>
      <c r="E167" s="18">
        <v>0.8</v>
      </c>
      <c r="F167" s="18">
        <v>0.2</v>
      </c>
      <c r="G167" s="18">
        <v>9.8000000000000007</v>
      </c>
      <c r="H167" s="18">
        <v>1.6</v>
      </c>
      <c r="I167" s="18">
        <v>26</v>
      </c>
      <c r="J167" s="18">
        <v>0</v>
      </c>
      <c r="K167" s="18">
        <v>12</v>
      </c>
      <c r="L167" s="18">
        <v>18</v>
      </c>
      <c r="M167" s="18">
        <v>170</v>
      </c>
      <c r="N167" s="18">
        <v>3</v>
      </c>
      <c r="O167" s="18">
        <v>0.06</v>
      </c>
      <c r="P167" s="18">
        <v>0.04</v>
      </c>
      <c r="Q167" s="18">
        <v>5.1999999999999998E-2</v>
      </c>
      <c r="R167" s="18">
        <v>0</v>
      </c>
      <c r="S167" s="18">
        <v>43</v>
      </c>
      <c r="T167" s="18">
        <v>0.1</v>
      </c>
      <c r="U167" s="18">
        <v>28</v>
      </c>
      <c r="V167" s="18">
        <v>4.4999999999999998E-2</v>
      </c>
      <c r="W167" s="18">
        <v>0.03</v>
      </c>
      <c r="X167" s="18">
        <v>0</v>
      </c>
      <c r="Y167" s="18">
        <v>0.06</v>
      </c>
      <c r="Z167" s="18">
        <v>0</v>
      </c>
      <c r="AA167" s="18">
        <v>19</v>
      </c>
      <c r="AB167" s="18">
        <v>718</v>
      </c>
      <c r="AC167" s="18" t="s">
        <v>1003</v>
      </c>
      <c r="AD167" s="18" t="s">
        <v>1004</v>
      </c>
      <c r="AE167" s="18" t="s">
        <v>715</v>
      </c>
      <c r="AF167" s="18" t="s">
        <v>1005</v>
      </c>
      <c r="AG167" s="18" t="s">
        <v>1006</v>
      </c>
      <c r="AH167" s="18" t="s">
        <v>1007</v>
      </c>
      <c r="AI167" s="18" t="s">
        <v>155</v>
      </c>
      <c r="AJ167" s="18" t="s">
        <v>337</v>
      </c>
      <c r="AK167" s="18" t="s">
        <v>157</v>
      </c>
      <c r="AL167" s="18" t="s">
        <v>314</v>
      </c>
      <c r="AM167" s="18"/>
      <c r="AN167" s="18" t="s">
        <v>338</v>
      </c>
      <c r="AO167" s="18" t="s">
        <v>419</v>
      </c>
      <c r="AP167" s="18" t="s">
        <v>419</v>
      </c>
      <c r="AQ167" s="18" t="s">
        <v>287</v>
      </c>
      <c r="AR167" s="18">
        <v>23</v>
      </c>
      <c r="AS167" s="18">
        <v>34</v>
      </c>
      <c r="AT167" s="18">
        <v>12</v>
      </c>
      <c r="AU167" s="18">
        <v>38</v>
      </c>
      <c r="AV167" s="18">
        <v>1200</v>
      </c>
      <c r="AW167" s="18">
        <v>1800</v>
      </c>
      <c r="AX167" s="18">
        <v>300</v>
      </c>
      <c r="AY167" s="18">
        <v>4000</v>
      </c>
      <c r="AZ167" s="18">
        <v>6</v>
      </c>
      <c r="BA167" s="18">
        <v>6.8</v>
      </c>
      <c r="BB167" s="18">
        <v>5.5</v>
      </c>
      <c r="BC167" s="18">
        <v>8.3000000000000007</v>
      </c>
      <c r="BD167" s="18"/>
      <c r="BE167" s="18"/>
      <c r="BF167" s="18">
        <v>35</v>
      </c>
      <c r="BG167" s="18">
        <v>45</v>
      </c>
      <c r="BH167" s="18">
        <v>2300</v>
      </c>
      <c r="BI167" s="18" t="s">
        <v>163</v>
      </c>
      <c r="BJ167" s="18" t="s">
        <v>163</v>
      </c>
      <c r="BK167" s="18" t="s">
        <v>163</v>
      </c>
      <c r="BL167" s="18" t="s">
        <v>164</v>
      </c>
      <c r="BM167" s="18" t="s">
        <v>288</v>
      </c>
      <c r="BN167" s="18" t="s">
        <v>166</v>
      </c>
      <c r="BO167" s="59" t="s">
        <v>250</v>
      </c>
      <c r="BP167" s="59" t="s">
        <v>203</v>
      </c>
      <c r="BQ167" s="59" t="s">
        <v>169</v>
      </c>
      <c r="BR167" s="59" t="s">
        <v>170</v>
      </c>
      <c r="BS167" s="59"/>
      <c r="BT167" s="59"/>
      <c r="BU167" s="59" t="s">
        <v>171</v>
      </c>
      <c r="BV167" s="59" t="s">
        <v>171</v>
      </c>
      <c r="BW167" s="59" t="s">
        <v>172</v>
      </c>
      <c r="BX167" s="59" t="s">
        <v>882</v>
      </c>
      <c r="BY167" s="59"/>
      <c r="BZ167" s="59"/>
      <c r="CA167" s="59" t="s">
        <v>508</v>
      </c>
      <c r="CB167" s="59" t="s">
        <v>934</v>
      </c>
      <c r="CC167" s="59"/>
      <c r="CD167" s="59"/>
      <c r="CE167" s="59"/>
      <c r="CF167" s="59" t="s">
        <v>206</v>
      </c>
      <c r="CG167" s="59">
        <v>60</v>
      </c>
      <c r="CH167" s="59">
        <v>365</v>
      </c>
      <c r="CI167" s="32">
        <v>3</v>
      </c>
      <c r="CJ167" s="32">
        <v>7</v>
      </c>
      <c r="CK167" s="32">
        <v>3</v>
      </c>
      <c r="CL167" s="32">
        <v>7</v>
      </c>
      <c r="CM167" s="33" t="s">
        <v>624</v>
      </c>
      <c r="CN167" s="34">
        <v>8</v>
      </c>
      <c r="CO167" s="34">
        <v>40</v>
      </c>
      <c r="CP167" s="35" t="s">
        <v>1008</v>
      </c>
      <c r="CQ167" s="35" t="s">
        <v>209</v>
      </c>
      <c r="CR167" s="36">
        <v>0</v>
      </c>
      <c r="CS167" s="36">
        <v>0</v>
      </c>
      <c r="CT167" s="36">
        <v>8</v>
      </c>
      <c r="CU167" s="36">
        <v>4</v>
      </c>
      <c r="CV167" s="36">
        <v>8</v>
      </c>
      <c r="CW167" s="36">
        <v>10</v>
      </c>
      <c r="CX167" s="36">
        <v>6</v>
      </c>
      <c r="CY167" s="36">
        <v>25</v>
      </c>
      <c r="CZ167" s="36">
        <v>8</v>
      </c>
      <c r="DA167" s="37">
        <v>0</v>
      </c>
      <c r="DB167" s="37">
        <v>0</v>
      </c>
      <c r="DC167" s="37">
        <v>60</v>
      </c>
      <c r="DD167" s="37">
        <v>25</v>
      </c>
      <c r="DE167" s="37">
        <v>50</v>
      </c>
      <c r="DF167" s="37">
        <v>80</v>
      </c>
      <c r="DG167" s="37">
        <v>40</v>
      </c>
      <c r="DH167" s="37">
        <v>400</v>
      </c>
      <c r="DI167" s="37">
        <v>80</v>
      </c>
      <c r="DJ167" s="38" t="s">
        <v>870</v>
      </c>
      <c r="DK167" s="39" t="s">
        <v>409</v>
      </c>
      <c r="DL167" s="40">
        <v>150</v>
      </c>
      <c r="DM167" s="39" t="s">
        <v>1009</v>
      </c>
      <c r="DN167" s="41"/>
      <c r="DO167" s="41"/>
      <c r="DP167" s="41"/>
      <c r="DQ167" s="41"/>
      <c r="DR167" s="24" t="s">
        <v>182</v>
      </c>
      <c r="DS167" s="25" t="s">
        <v>183</v>
      </c>
      <c r="DT167" s="25" t="s">
        <v>183</v>
      </c>
      <c r="DU167" s="25" t="s">
        <v>183</v>
      </c>
      <c r="DV167" s="24" t="s">
        <v>182</v>
      </c>
      <c r="DW167" s="41"/>
      <c r="DX167" s="41"/>
      <c r="DY167" s="41"/>
      <c r="DZ167" s="42" t="s">
        <v>1010</v>
      </c>
      <c r="EA167" s="42" t="s">
        <v>1011</v>
      </c>
      <c r="EB167" s="26" t="s">
        <v>186</v>
      </c>
      <c r="EC167" s="44" t="s">
        <v>874</v>
      </c>
      <c r="ED167" s="45" t="s">
        <v>353</v>
      </c>
      <c r="EE167" s="46">
        <v>1</v>
      </c>
      <c r="EF167" s="53" t="s">
        <v>757</v>
      </c>
    </row>
    <row r="168" spans="1:136" ht="15" customHeight="1" x14ac:dyDescent="0.25">
      <c r="A168" s="16" t="s">
        <v>2130</v>
      </c>
      <c r="B168" s="29" t="s">
        <v>2131</v>
      </c>
      <c r="C168" s="29" t="s">
        <v>2132</v>
      </c>
      <c r="D168" s="30">
        <v>25.3</v>
      </c>
      <c r="E168" s="30">
        <v>1.8</v>
      </c>
      <c r="F168" s="30">
        <v>0</v>
      </c>
      <c r="G168" s="30">
        <v>3.3</v>
      </c>
      <c r="H168" s="30">
        <v>2.8</v>
      </c>
      <c r="I168" s="30">
        <v>45</v>
      </c>
      <c r="J168" s="30">
        <v>0.69</v>
      </c>
      <c r="K168" s="30">
        <v>24</v>
      </c>
      <c r="L168" s="30">
        <v>32</v>
      </c>
      <c r="M168" s="30">
        <v>280</v>
      </c>
      <c r="N168" s="30">
        <v>0</v>
      </c>
      <c r="O168" s="30">
        <v>0.27</v>
      </c>
      <c r="P168" s="30">
        <v>4.8000000000000001E-2</v>
      </c>
      <c r="Q168" s="30">
        <v>0.14000000000000001</v>
      </c>
      <c r="R168" s="30">
        <v>0</v>
      </c>
      <c r="S168" s="30">
        <v>29</v>
      </c>
      <c r="T168" s="30">
        <v>0</v>
      </c>
      <c r="U168" s="30">
        <v>3</v>
      </c>
      <c r="V168" s="30">
        <v>0.06</v>
      </c>
      <c r="W168" s="30">
        <v>0.03</v>
      </c>
      <c r="X168" s="30">
        <v>0</v>
      </c>
      <c r="Y168" s="30">
        <v>0.05</v>
      </c>
      <c r="Z168" s="30">
        <v>0</v>
      </c>
      <c r="AA168" s="30">
        <v>36</v>
      </c>
      <c r="AB168" s="31">
        <v>1668</v>
      </c>
      <c r="AC168" s="31" t="s">
        <v>2133</v>
      </c>
      <c r="AD168" s="31" t="s">
        <v>221</v>
      </c>
      <c r="AE168" s="31" t="s">
        <v>2062</v>
      </c>
      <c r="AF168" s="31" t="s">
        <v>2134</v>
      </c>
      <c r="AG168" s="31" t="s">
        <v>2135</v>
      </c>
      <c r="AH168" s="31" t="s">
        <v>2136</v>
      </c>
      <c r="AI168" s="31" t="s">
        <v>155</v>
      </c>
      <c r="AJ168" s="31" t="s">
        <v>156</v>
      </c>
      <c r="AK168" s="31" t="s">
        <v>687</v>
      </c>
      <c r="AL168" s="31" t="s">
        <v>282</v>
      </c>
      <c r="AM168" s="31" t="s">
        <v>159</v>
      </c>
      <c r="AN168" s="31" t="s">
        <v>1584</v>
      </c>
      <c r="AO168" s="31" t="s">
        <v>2137</v>
      </c>
      <c r="AP168" s="31" t="s">
        <v>2066</v>
      </c>
      <c r="AQ168" s="31" t="s">
        <v>162</v>
      </c>
      <c r="AR168" s="31">
        <v>16</v>
      </c>
      <c r="AS168" s="31">
        <v>25</v>
      </c>
      <c r="AT168" s="31">
        <v>7</v>
      </c>
      <c r="AU168" s="31">
        <v>32</v>
      </c>
      <c r="AV168" s="31">
        <v>500</v>
      </c>
      <c r="AW168" s="31">
        <v>2000</v>
      </c>
      <c r="AX168" s="31">
        <v>300</v>
      </c>
      <c r="AY168" s="31">
        <v>4300</v>
      </c>
      <c r="AZ168" s="31">
        <v>5.5</v>
      </c>
      <c r="BA168" s="31">
        <v>7.5</v>
      </c>
      <c r="BB168" s="31">
        <v>4</v>
      </c>
      <c r="BC168" s="31">
        <v>9</v>
      </c>
      <c r="BD168" s="31"/>
      <c r="BE168" s="31"/>
      <c r="BF168" s="31">
        <v>20</v>
      </c>
      <c r="BG168" s="31">
        <v>60</v>
      </c>
      <c r="BH168" s="31">
        <v>3000</v>
      </c>
      <c r="BI168" s="31" t="s">
        <v>163</v>
      </c>
      <c r="BJ168" s="31" t="s">
        <v>164</v>
      </c>
      <c r="BK168" s="31" t="s">
        <v>163</v>
      </c>
      <c r="BL168" s="31" t="s">
        <v>165</v>
      </c>
      <c r="BM168" s="31" t="s">
        <v>166</v>
      </c>
      <c r="BN168" s="31" t="s">
        <v>201</v>
      </c>
      <c r="BO168" s="60" t="s">
        <v>167</v>
      </c>
      <c r="BP168" s="60" t="s">
        <v>203</v>
      </c>
      <c r="BQ168" s="60" t="s">
        <v>170</v>
      </c>
      <c r="BR168" s="60" t="s">
        <v>230</v>
      </c>
      <c r="BS168" s="60"/>
      <c r="BT168" s="60"/>
      <c r="BU168" s="60" t="s">
        <v>171</v>
      </c>
      <c r="BV168" s="60" t="s">
        <v>171</v>
      </c>
      <c r="BW168" s="60" t="s">
        <v>172</v>
      </c>
      <c r="BX168" s="60" t="s">
        <v>172</v>
      </c>
      <c r="BY168" s="60"/>
      <c r="BZ168" s="60"/>
      <c r="CA168" s="60" t="s">
        <v>508</v>
      </c>
      <c r="CB168" s="60" t="s">
        <v>1358</v>
      </c>
      <c r="CC168" s="60"/>
      <c r="CD168" s="60"/>
      <c r="CE168" s="60"/>
      <c r="CF168" s="60"/>
      <c r="CG168" s="60">
        <v>50</v>
      </c>
      <c r="CH168" s="60">
        <v>270</v>
      </c>
      <c r="CI168" s="19">
        <v>0.3</v>
      </c>
      <c r="CJ168" s="19">
        <v>0.6</v>
      </c>
      <c r="CK168" s="19">
        <v>0.2</v>
      </c>
      <c r="CL168" s="19">
        <v>0.5</v>
      </c>
      <c r="CM168" s="17" t="s">
        <v>2138</v>
      </c>
      <c r="CN168" s="20">
        <v>4</v>
      </c>
      <c r="CO168" s="20">
        <v>20</v>
      </c>
      <c r="CP168" s="17" t="s">
        <v>2139</v>
      </c>
      <c r="CQ168" s="17" t="s">
        <v>209</v>
      </c>
      <c r="CR168" s="21">
        <v>4</v>
      </c>
      <c r="CS168" s="21">
        <v>3</v>
      </c>
      <c r="CT168" s="21">
        <v>5</v>
      </c>
      <c r="CU168" s="21">
        <v>2</v>
      </c>
      <c r="CV168" s="21">
        <v>3</v>
      </c>
      <c r="CW168" s="21">
        <v>0</v>
      </c>
      <c r="CX168" s="21">
        <v>3</v>
      </c>
      <c r="CY168" s="21">
        <v>15</v>
      </c>
      <c r="CZ168" s="21">
        <v>5</v>
      </c>
      <c r="DA168" s="21">
        <v>120</v>
      </c>
      <c r="DB168" s="21">
        <v>60</v>
      </c>
      <c r="DC168" s="21">
        <v>150</v>
      </c>
      <c r="DD168" s="21">
        <v>20</v>
      </c>
      <c r="DE168" s="21">
        <v>25</v>
      </c>
      <c r="DF168" s="21">
        <v>0</v>
      </c>
      <c r="DG168" s="21">
        <v>30</v>
      </c>
      <c r="DH168" s="21">
        <v>400</v>
      </c>
      <c r="DI168" s="21">
        <v>80</v>
      </c>
      <c r="DJ168" s="17" t="s">
        <v>2140</v>
      </c>
      <c r="DK168" s="17" t="s">
        <v>1979</v>
      </c>
      <c r="DL168" s="22">
        <v>75</v>
      </c>
      <c r="DM168" s="17" t="s">
        <v>2141</v>
      </c>
      <c r="DN168" s="25" t="s">
        <v>183</v>
      </c>
      <c r="DO168" s="25" t="s">
        <v>183</v>
      </c>
      <c r="DP168" s="25" t="s">
        <v>183</v>
      </c>
      <c r="DQ168" s="24" t="s">
        <v>182</v>
      </c>
      <c r="DR168" s="23"/>
      <c r="DS168" s="23"/>
      <c r="DT168" s="23"/>
      <c r="DU168" s="23"/>
      <c r="DV168" s="23"/>
      <c r="DW168" s="24" t="s">
        <v>182</v>
      </c>
      <c r="DX168" s="25" t="s">
        <v>183</v>
      </c>
      <c r="DY168" s="25" t="s">
        <v>183</v>
      </c>
      <c r="DZ168" s="17" t="s">
        <v>2142</v>
      </c>
      <c r="EA168" s="17" t="s">
        <v>709</v>
      </c>
      <c r="EB168" s="52" t="s">
        <v>301</v>
      </c>
      <c r="EC168" s="17" t="s">
        <v>2143</v>
      </c>
      <c r="ED168" s="27" t="s">
        <v>2144</v>
      </c>
      <c r="EE168" s="22">
        <v>4</v>
      </c>
      <c r="EF168" s="55" t="s">
        <v>531</v>
      </c>
    </row>
    <row r="169" spans="1:136" ht="15" customHeight="1" x14ac:dyDescent="0.25">
      <c r="A169" s="16" t="s">
        <v>1047</v>
      </c>
      <c r="B169" s="29" t="s">
        <v>409</v>
      </c>
      <c r="C169" s="29" t="s">
        <v>1048</v>
      </c>
      <c r="D169" s="30">
        <v>23.9</v>
      </c>
      <c r="E169" s="30">
        <v>0.6</v>
      </c>
      <c r="F169" s="30">
        <v>0</v>
      </c>
      <c r="G169" s="30">
        <v>4.8</v>
      </c>
      <c r="H169" s="30">
        <v>1</v>
      </c>
      <c r="I169" s="30">
        <v>9</v>
      </c>
      <c r="J169" s="30">
        <v>0.25</v>
      </c>
      <c r="K169" s="30">
        <v>11</v>
      </c>
      <c r="L169" s="30">
        <v>15</v>
      </c>
      <c r="M169" s="30">
        <v>223</v>
      </c>
      <c r="N169" s="30">
        <v>16</v>
      </c>
      <c r="O169" s="30">
        <v>0.13</v>
      </c>
      <c r="P169" s="30">
        <v>2.7E-2</v>
      </c>
      <c r="Q169" s="30">
        <v>4.5999999999999999E-2</v>
      </c>
      <c r="R169" s="30">
        <v>0</v>
      </c>
      <c r="S169" s="30">
        <v>451</v>
      </c>
      <c r="T169" s="30">
        <v>0.1</v>
      </c>
      <c r="U169" s="30">
        <v>15</v>
      </c>
      <c r="V169" s="30">
        <v>0.02</v>
      </c>
      <c r="W169" s="30">
        <v>0.01</v>
      </c>
      <c r="X169" s="30">
        <v>0.1</v>
      </c>
      <c r="Y169" s="30">
        <v>0.05</v>
      </c>
      <c r="Z169" s="30">
        <v>0</v>
      </c>
      <c r="AA169" s="30">
        <v>33</v>
      </c>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60"/>
      <c r="BP169" s="60"/>
      <c r="BQ169" s="60"/>
      <c r="BR169" s="60"/>
      <c r="BS169" s="60"/>
      <c r="BT169" s="60"/>
      <c r="BU169" s="60"/>
      <c r="BV169" s="60"/>
      <c r="BW169" s="60"/>
      <c r="BX169" s="60"/>
      <c r="BY169" s="60"/>
      <c r="BZ169" s="60"/>
      <c r="CA169" s="60"/>
      <c r="CB169" s="60"/>
      <c r="CC169" s="60"/>
      <c r="CD169" s="60"/>
      <c r="CE169" s="60"/>
      <c r="CF169" s="60"/>
      <c r="CG169" s="60"/>
      <c r="CH169" s="60"/>
      <c r="CI169" s="32">
        <v>0.3</v>
      </c>
      <c r="CJ169" s="32">
        <v>0.5</v>
      </c>
      <c r="CK169" s="32">
        <v>1.5</v>
      </c>
      <c r="CL169" s="32">
        <v>3.5</v>
      </c>
      <c r="CM169" s="33" t="s">
        <v>1049</v>
      </c>
      <c r="CN169" s="34">
        <v>10</v>
      </c>
      <c r="CO169" s="34">
        <v>45</v>
      </c>
      <c r="CP169" s="35" t="s">
        <v>1050</v>
      </c>
      <c r="CQ169" s="35" t="s">
        <v>365</v>
      </c>
      <c r="CR169" s="36">
        <v>5</v>
      </c>
      <c r="CS169" s="36">
        <v>5</v>
      </c>
      <c r="CT169" s="36">
        <v>6</v>
      </c>
      <c r="CU169" s="36">
        <v>3</v>
      </c>
      <c r="CV169" s="36">
        <v>5</v>
      </c>
      <c r="CW169" s="36">
        <v>4</v>
      </c>
      <c r="CX169" s="36">
        <v>5</v>
      </c>
      <c r="CY169" s="36">
        <v>12</v>
      </c>
      <c r="CZ169" s="36">
        <v>5</v>
      </c>
      <c r="DA169" s="37">
        <v>130</v>
      </c>
      <c r="DB169" s="37">
        <v>120</v>
      </c>
      <c r="DC169" s="37">
        <v>180</v>
      </c>
      <c r="DD169" s="37">
        <v>25</v>
      </c>
      <c r="DE169" s="37">
        <v>40</v>
      </c>
      <c r="DF169" s="37">
        <v>40</v>
      </c>
      <c r="DG169" s="37">
        <v>50</v>
      </c>
      <c r="DH169" s="37">
        <v>280</v>
      </c>
      <c r="DI169" s="37">
        <v>80</v>
      </c>
      <c r="DJ169" s="38" t="s">
        <v>1051</v>
      </c>
      <c r="DK169" s="39" t="s">
        <v>409</v>
      </c>
      <c r="DL169" s="40">
        <v>150</v>
      </c>
      <c r="DM169" s="39" t="s">
        <v>1052</v>
      </c>
      <c r="DN169" s="25" t="s">
        <v>183</v>
      </c>
      <c r="DO169" s="25" t="s">
        <v>183</v>
      </c>
      <c r="DP169" s="24" t="s">
        <v>182</v>
      </c>
      <c r="DQ169" s="41"/>
      <c r="DR169" s="41"/>
      <c r="DS169" s="41"/>
      <c r="DT169" s="41"/>
      <c r="DU169" s="41"/>
      <c r="DV169" s="41"/>
      <c r="DW169" s="41"/>
      <c r="DX169" s="24" t="s">
        <v>182</v>
      </c>
      <c r="DY169" s="25" t="s">
        <v>183</v>
      </c>
      <c r="DZ169" s="42" t="s">
        <v>1053</v>
      </c>
      <c r="EA169" s="42" t="s">
        <v>1054</v>
      </c>
      <c r="EB169" s="26" t="s">
        <v>186</v>
      </c>
      <c r="EC169" s="44" t="s">
        <v>1046</v>
      </c>
      <c r="ED169" s="45" t="s">
        <v>188</v>
      </c>
      <c r="EE169" s="46">
        <v>1</v>
      </c>
      <c r="EF169" s="47" t="s">
        <v>392</v>
      </c>
    </row>
    <row r="170" spans="1:136" ht="15" customHeight="1" x14ac:dyDescent="0.25">
      <c r="A170" s="16" t="s">
        <v>1012</v>
      </c>
      <c r="B170" s="29" t="s">
        <v>409</v>
      </c>
      <c r="C170" s="29" t="s">
        <v>1013</v>
      </c>
      <c r="D170" s="30">
        <v>53.5</v>
      </c>
      <c r="E170" s="30">
        <v>0.4</v>
      </c>
      <c r="F170" s="30">
        <v>0</v>
      </c>
      <c r="G170" s="30">
        <v>12.6</v>
      </c>
      <c r="H170" s="30">
        <v>1.3</v>
      </c>
      <c r="I170" s="30">
        <v>9</v>
      </c>
      <c r="J170" s="30">
        <v>0.16</v>
      </c>
      <c r="K170" s="30">
        <v>9</v>
      </c>
      <c r="L170" s="30">
        <v>15</v>
      </c>
      <c r="M170" s="30">
        <v>175</v>
      </c>
      <c r="N170" s="30">
        <v>0</v>
      </c>
      <c r="O170" s="30">
        <v>0.09</v>
      </c>
      <c r="P170" s="30">
        <v>0.113</v>
      </c>
      <c r="Q170" s="30">
        <v>0.161</v>
      </c>
      <c r="R170" s="30">
        <v>0</v>
      </c>
      <c r="S170" s="30">
        <v>117</v>
      </c>
      <c r="T170" s="30">
        <v>0.73</v>
      </c>
      <c r="U170" s="30">
        <v>25</v>
      </c>
      <c r="V170" s="30">
        <v>0.06</v>
      </c>
      <c r="W170" s="30">
        <v>0.02</v>
      </c>
      <c r="X170" s="30">
        <v>0</v>
      </c>
      <c r="Y170" s="30">
        <v>0.05</v>
      </c>
      <c r="Z170" s="30">
        <v>0</v>
      </c>
      <c r="AA170" s="30">
        <v>22</v>
      </c>
      <c r="AB170" s="31">
        <v>1416</v>
      </c>
      <c r="AC170" s="31" t="s">
        <v>1014</v>
      </c>
      <c r="AD170" s="31" t="s">
        <v>221</v>
      </c>
      <c r="AE170" s="31" t="s">
        <v>1015</v>
      </c>
      <c r="AF170" s="31" t="s">
        <v>1016</v>
      </c>
      <c r="AG170" s="31" t="s">
        <v>1017</v>
      </c>
      <c r="AH170" s="31" t="s">
        <v>1018</v>
      </c>
      <c r="AI170" s="31" t="s">
        <v>155</v>
      </c>
      <c r="AJ170" s="31" t="s">
        <v>337</v>
      </c>
      <c r="AK170" s="31" t="s">
        <v>157</v>
      </c>
      <c r="AL170" s="31" t="s">
        <v>314</v>
      </c>
      <c r="AM170" s="31"/>
      <c r="AN170" s="31"/>
      <c r="AO170" s="31" t="s">
        <v>637</v>
      </c>
      <c r="AP170" s="31" t="s">
        <v>419</v>
      </c>
      <c r="AQ170" s="31" t="s">
        <v>162</v>
      </c>
      <c r="AR170" s="31">
        <v>24</v>
      </c>
      <c r="AS170" s="31">
        <v>30</v>
      </c>
      <c r="AT170" s="31">
        <v>8</v>
      </c>
      <c r="AU170" s="31">
        <v>48</v>
      </c>
      <c r="AV170" s="31">
        <v>600</v>
      </c>
      <c r="AW170" s="31">
        <v>1500</v>
      </c>
      <c r="AX170" s="31">
        <v>300</v>
      </c>
      <c r="AY170" s="31">
        <v>2600</v>
      </c>
      <c r="AZ170" s="31">
        <v>5.5</v>
      </c>
      <c r="BA170" s="31">
        <v>7.5</v>
      </c>
      <c r="BB170" s="31">
        <v>4.3</v>
      </c>
      <c r="BC170" s="31">
        <v>8.5</v>
      </c>
      <c r="BD170" s="31"/>
      <c r="BE170" s="31"/>
      <c r="BF170" s="31">
        <v>25</v>
      </c>
      <c r="BG170" s="31">
        <v>30</v>
      </c>
      <c r="BH170" s="31">
        <v>1200</v>
      </c>
      <c r="BI170" s="31" t="s">
        <v>163</v>
      </c>
      <c r="BJ170" s="31" t="s">
        <v>163</v>
      </c>
      <c r="BK170" s="31" t="s">
        <v>165</v>
      </c>
      <c r="BL170" s="31" t="s">
        <v>163</v>
      </c>
      <c r="BM170" s="31" t="s">
        <v>288</v>
      </c>
      <c r="BN170" s="31" t="s">
        <v>166</v>
      </c>
      <c r="BO170" s="60" t="s">
        <v>250</v>
      </c>
      <c r="BP170" s="60" t="s">
        <v>203</v>
      </c>
      <c r="BQ170" s="60" t="s">
        <v>170</v>
      </c>
      <c r="BR170" s="60" t="s">
        <v>230</v>
      </c>
      <c r="BS170" s="60"/>
      <c r="BT170" s="60"/>
      <c r="BU170" s="60" t="s">
        <v>171</v>
      </c>
      <c r="BV170" s="60" t="s">
        <v>171</v>
      </c>
      <c r="BW170" s="60" t="s">
        <v>172</v>
      </c>
      <c r="BX170" s="60" t="s">
        <v>290</v>
      </c>
      <c r="BY170" s="60">
        <v>-1</v>
      </c>
      <c r="BZ170" s="60">
        <v>0</v>
      </c>
      <c r="CA170" s="60" t="s">
        <v>173</v>
      </c>
      <c r="CB170" s="60" t="s">
        <v>1019</v>
      </c>
      <c r="CC170" s="60"/>
      <c r="CD170" s="60"/>
      <c r="CE170" s="60"/>
      <c r="CF170" s="60" t="s">
        <v>293</v>
      </c>
      <c r="CG170" s="60">
        <v>150</v>
      </c>
      <c r="CH170" s="60">
        <v>365</v>
      </c>
      <c r="CI170" s="19">
        <v>10</v>
      </c>
      <c r="CJ170" s="19">
        <v>30</v>
      </c>
      <c r="CK170" s="19">
        <v>8</v>
      </c>
      <c r="CL170" s="19">
        <v>20</v>
      </c>
      <c r="CM170" s="17" t="s">
        <v>568</v>
      </c>
      <c r="CN170" s="20">
        <v>3</v>
      </c>
      <c r="CO170" s="20">
        <v>30</v>
      </c>
      <c r="CP170" s="17" t="s">
        <v>1020</v>
      </c>
      <c r="CQ170" s="17" t="s">
        <v>209</v>
      </c>
      <c r="CR170" s="21">
        <v>0</v>
      </c>
      <c r="CS170" s="21">
        <v>0</v>
      </c>
      <c r="CT170" s="21">
        <v>8</v>
      </c>
      <c r="CU170" s="21">
        <v>4</v>
      </c>
      <c r="CV170" s="21">
        <v>8</v>
      </c>
      <c r="CW170" s="21">
        <v>8</v>
      </c>
      <c r="CX170" s="21">
        <v>6</v>
      </c>
      <c r="CY170" s="21">
        <v>25</v>
      </c>
      <c r="CZ170" s="21">
        <v>8</v>
      </c>
      <c r="DA170" s="21">
        <v>0</v>
      </c>
      <c r="DB170" s="21">
        <v>0</v>
      </c>
      <c r="DC170" s="21">
        <v>60</v>
      </c>
      <c r="DD170" s="21">
        <v>25</v>
      </c>
      <c r="DE170" s="21">
        <v>50</v>
      </c>
      <c r="DF170" s="21">
        <v>80</v>
      </c>
      <c r="DG170" s="21">
        <v>40</v>
      </c>
      <c r="DH170" s="21">
        <v>400</v>
      </c>
      <c r="DI170" s="21">
        <v>80</v>
      </c>
      <c r="DJ170" s="17" t="s">
        <v>1021</v>
      </c>
      <c r="DK170" s="17" t="s">
        <v>409</v>
      </c>
      <c r="DL170" s="22">
        <v>150</v>
      </c>
      <c r="DM170" s="17" t="s">
        <v>1022</v>
      </c>
      <c r="DN170" s="25" t="s">
        <v>183</v>
      </c>
      <c r="DO170" s="24" t="s">
        <v>182</v>
      </c>
      <c r="DP170" s="23"/>
      <c r="DQ170" s="23"/>
      <c r="DR170" s="23"/>
      <c r="DS170" s="23"/>
      <c r="DT170" s="23"/>
      <c r="DU170" s="23"/>
      <c r="DV170" s="23"/>
      <c r="DW170" s="24" t="s">
        <v>182</v>
      </c>
      <c r="DX170" s="25" t="s">
        <v>183</v>
      </c>
      <c r="DY170" s="25" t="s">
        <v>183</v>
      </c>
      <c r="DZ170" s="17" t="s">
        <v>1023</v>
      </c>
      <c r="EA170" s="17" t="s">
        <v>1024</v>
      </c>
      <c r="EB170" s="52" t="s">
        <v>301</v>
      </c>
      <c r="EC170" s="17" t="s">
        <v>1025</v>
      </c>
      <c r="ED170" s="27" t="s">
        <v>496</v>
      </c>
      <c r="EE170" s="22">
        <v>5</v>
      </c>
      <c r="EF170" s="54" t="s">
        <v>392</v>
      </c>
    </row>
    <row r="171" spans="1:136" ht="15" customHeight="1" x14ac:dyDescent="0.25">
      <c r="A171" s="16" t="s">
        <v>1038</v>
      </c>
      <c r="B171" s="17" t="s">
        <v>409</v>
      </c>
      <c r="C171" s="17" t="s">
        <v>1039</v>
      </c>
      <c r="D171" s="18">
        <v>30.1</v>
      </c>
      <c r="E171" s="18">
        <v>0.4</v>
      </c>
      <c r="F171" s="18">
        <v>0</v>
      </c>
      <c r="G171" s="18">
        <v>6.9</v>
      </c>
      <c r="H171" s="18">
        <v>0.8</v>
      </c>
      <c r="I171" s="18">
        <v>10</v>
      </c>
      <c r="J171" s="18">
        <v>0.72</v>
      </c>
      <c r="K171" s="18">
        <v>12</v>
      </c>
      <c r="L171" s="18">
        <v>10</v>
      </c>
      <c r="M171" s="18">
        <v>160</v>
      </c>
      <c r="N171" s="18">
        <v>24</v>
      </c>
      <c r="O171" s="18">
        <v>7.0000000000000007E-2</v>
      </c>
      <c r="P171" s="18">
        <v>2.5000000000000001E-2</v>
      </c>
      <c r="Q171" s="18">
        <v>0.04</v>
      </c>
      <c r="R171" s="18">
        <v>0</v>
      </c>
      <c r="S171" s="18">
        <v>10</v>
      </c>
      <c r="T171" s="18">
        <v>0.2</v>
      </c>
      <c r="U171" s="18">
        <v>11</v>
      </c>
      <c r="V171" s="18">
        <v>0.02</v>
      </c>
      <c r="W171" s="18">
        <v>0</v>
      </c>
      <c r="X171" s="18">
        <v>0</v>
      </c>
      <c r="Y171" s="18">
        <v>0.05</v>
      </c>
      <c r="Z171" s="18">
        <v>0</v>
      </c>
      <c r="AA171" s="18">
        <v>8</v>
      </c>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59"/>
      <c r="BP171" s="59"/>
      <c r="BQ171" s="59"/>
      <c r="BR171" s="59"/>
      <c r="BS171" s="59"/>
      <c r="BT171" s="59"/>
      <c r="BU171" s="59"/>
      <c r="BV171" s="59"/>
      <c r="BW171" s="59"/>
      <c r="BX171" s="59"/>
      <c r="BY171" s="59"/>
      <c r="BZ171" s="59"/>
      <c r="CA171" s="59"/>
      <c r="CB171" s="59"/>
      <c r="CC171" s="59"/>
      <c r="CD171" s="59"/>
      <c r="CE171" s="59"/>
      <c r="CF171" s="59"/>
      <c r="CG171" s="59"/>
      <c r="CH171" s="59"/>
      <c r="CI171" s="19">
        <v>0.3</v>
      </c>
      <c r="CJ171" s="19">
        <v>0.5</v>
      </c>
      <c r="CK171" s="19">
        <v>1.5</v>
      </c>
      <c r="CL171" s="19">
        <v>3.5</v>
      </c>
      <c r="CM171" s="17" t="s">
        <v>1040</v>
      </c>
      <c r="CN171" s="20">
        <v>10</v>
      </c>
      <c r="CO171" s="20">
        <v>40</v>
      </c>
      <c r="CP171" s="17" t="s">
        <v>1041</v>
      </c>
      <c r="CQ171" s="17" t="s">
        <v>209</v>
      </c>
      <c r="CR171" s="21">
        <v>5</v>
      </c>
      <c r="CS171" s="21">
        <v>5</v>
      </c>
      <c r="CT171" s="21">
        <v>6</v>
      </c>
      <c r="CU171" s="21">
        <v>3</v>
      </c>
      <c r="CV171" s="21">
        <v>5</v>
      </c>
      <c r="CW171" s="21">
        <v>4</v>
      </c>
      <c r="CX171" s="21">
        <v>5</v>
      </c>
      <c r="CY171" s="21">
        <v>12</v>
      </c>
      <c r="CZ171" s="21">
        <v>5</v>
      </c>
      <c r="DA171" s="21">
        <v>130</v>
      </c>
      <c r="DB171" s="21">
        <v>120</v>
      </c>
      <c r="DC171" s="21">
        <v>180</v>
      </c>
      <c r="DD171" s="21">
        <v>25</v>
      </c>
      <c r="DE171" s="21">
        <v>40</v>
      </c>
      <c r="DF171" s="21">
        <v>40</v>
      </c>
      <c r="DG171" s="21">
        <v>50</v>
      </c>
      <c r="DH171" s="21">
        <v>280</v>
      </c>
      <c r="DI171" s="21">
        <v>80</v>
      </c>
      <c r="DJ171" s="17" t="s">
        <v>1042</v>
      </c>
      <c r="DK171" s="17" t="s">
        <v>409</v>
      </c>
      <c r="DL171" s="22">
        <v>150</v>
      </c>
      <c r="DM171" s="17" t="s">
        <v>1043</v>
      </c>
      <c r="DN171" s="25" t="s">
        <v>183</v>
      </c>
      <c r="DO171" s="25" t="s">
        <v>183</v>
      </c>
      <c r="DP171" s="24" t="s">
        <v>182</v>
      </c>
      <c r="DQ171" s="23"/>
      <c r="DR171" s="23"/>
      <c r="DS171" s="23"/>
      <c r="DT171" s="23"/>
      <c r="DU171" s="23"/>
      <c r="DV171" s="23"/>
      <c r="DW171" s="23"/>
      <c r="DX171" s="24" t="s">
        <v>182</v>
      </c>
      <c r="DY171" s="25" t="s">
        <v>183</v>
      </c>
      <c r="DZ171" s="17" t="s">
        <v>1044</v>
      </c>
      <c r="EA171" s="17" t="s">
        <v>1045</v>
      </c>
      <c r="EB171" s="26" t="s">
        <v>186</v>
      </c>
      <c r="EC171" s="17" t="s">
        <v>1046</v>
      </c>
      <c r="ED171" s="27" t="s">
        <v>353</v>
      </c>
      <c r="EE171" s="22">
        <v>1</v>
      </c>
      <c r="EF171" s="28" t="s">
        <v>275</v>
      </c>
    </row>
    <row r="172" spans="1:136" ht="15" customHeight="1" x14ac:dyDescent="0.25">
      <c r="A172" s="16" t="s">
        <v>860</v>
      </c>
      <c r="B172" s="29" t="s">
        <v>409</v>
      </c>
      <c r="C172" s="29" t="s">
        <v>861</v>
      </c>
      <c r="D172" s="30">
        <v>40.200000000000003</v>
      </c>
      <c r="E172" s="30">
        <v>0.8</v>
      </c>
      <c r="F172" s="30">
        <v>0</v>
      </c>
      <c r="G172" s="30">
        <v>7.7</v>
      </c>
      <c r="H172" s="30">
        <v>1.4</v>
      </c>
      <c r="I172" s="30">
        <v>20</v>
      </c>
      <c r="J172" s="30">
        <v>0</v>
      </c>
      <c r="K172" s="30">
        <v>10</v>
      </c>
      <c r="L172" s="30">
        <v>18</v>
      </c>
      <c r="M172" s="30">
        <v>150</v>
      </c>
      <c r="N172" s="30">
        <v>1</v>
      </c>
      <c r="O172" s="30">
        <v>0.04</v>
      </c>
      <c r="P172" s="30">
        <v>2.9000000000000001E-2</v>
      </c>
      <c r="Q172" s="30">
        <v>2.1000000000000001E-2</v>
      </c>
      <c r="R172" s="30">
        <v>0</v>
      </c>
      <c r="S172" s="30">
        <v>75</v>
      </c>
      <c r="T172" s="30">
        <v>0.2</v>
      </c>
      <c r="U172" s="30">
        <v>42</v>
      </c>
      <c r="V172" s="30">
        <v>0.03</v>
      </c>
      <c r="W172" s="30">
        <v>0.03</v>
      </c>
      <c r="X172" s="30">
        <v>0</v>
      </c>
      <c r="Y172" s="30">
        <v>0.05</v>
      </c>
      <c r="Z172" s="30">
        <v>0</v>
      </c>
      <c r="AA172" s="30">
        <v>36</v>
      </c>
      <c r="AB172" s="31">
        <v>717</v>
      </c>
      <c r="AC172" s="31" t="s">
        <v>862</v>
      </c>
      <c r="AD172" s="31" t="s">
        <v>863</v>
      </c>
      <c r="AE172" s="31" t="s">
        <v>715</v>
      </c>
      <c r="AF172" s="31" t="s">
        <v>864</v>
      </c>
      <c r="AG172" s="31" t="s">
        <v>865</v>
      </c>
      <c r="AH172" s="31" t="s">
        <v>866</v>
      </c>
      <c r="AI172" s="31" t="s">
        <v>155</v>
      </c>
      <c r="AJ172" s="31" t="s">
        <v>337</v>
      </c>
      <c r="AK172" s="31" t="s">
        <v>157</v>
      </c>
      <c r="AL172" s="31" t="s">
        <v>314</v>
      </c>
      <c r="AM172" s="31"/>
      <c r="AN172" s="31" t="s">
        <v>338</v>
      </c>
      <c r="AO172" s="31" t="s">
        <v>419</v>
      </c>
      <c r="AP172" s="31" t="s">
        <v>419</v>
      </c>
      <c r="AQ172" s="31" t="s">
        <v>162</v>
      </c>
      <c r="AR172" s="31">
        <v>18</v>
      </c>
      <c r="AS172" s="31">
        <v>32</v>
      </c>
      <c r="AT172" s="31">
        <v>13</v>
      </c>
      <c r="AU172" s="31">
        <v>42</v>
      </c>
      <c r="AV172" s="31">
        <v>1500</v>
      </c>
      <c r="AW172" s="31">
        <v>2300</v>
      </c>
      <c r="AX172" s="31">
        <v>300</v>
      </c>
      <c r="AY172" s="31">
        <v>4000</v>
      </c>
      <c r="AZ172" s="31">
        <v>6.5</v>
      </c>
      <c r="BA172" s="31">
        <v>7.3</v>
      </c>
      <c r="BB172" s="31">
        <v>6</v>
      </c>
      <c r="BC172" s="31">
        <v>8.3000000000000007</v>
      </c>
      <c r="BD172" s="31"/>
      <c r="BE172" s="31"/>
      <c r="BF172" s="31"/>
      <c r="BG172" s="31"/>
      <c r="BH172" s="31">
        <v>800</v>
      </c>
      <c r="BI172" s="31" t="s">
        <v>163</v>
      </c>
      <c r="BJ172" s="31" t="s">
        <v>163</v>
      </c>
      <c r="BK172" s="31" t="s">
        <v>163</v>
      </c>
      <c r="BL172" s="31" t="s">
        <v>164</v>
      </c>
      <c r="BM172" s="31" t="s">
        <v>288</v>
      </c>
      <c r="BN172" s="31" t="s">
        <v>166</v>
      </c>
      <c r="BO172" s="60" t="s">
        <v>250</v>
      </c>
      <c r="BP172" s="60" t="s">
        <v>203</v>
      </c>
      <c r="BQ172" s="60" t="s">
        <v>169</v>
      </c>
      <c r="BR172" s="60" t="s">
        <v>170</v>
      </c>
      <c r="BS172" s="60"/>
      <c r="BT172" s="60"/>
      <c r="BU172" s="60" t="s">
        <v>171</v>
      </c>
      <c r="BV172" s="60" t="s">
        <v>171</v>
      </c>
      <c r="BW172" s="60" t="s">
        <v>172</v>
      </c>
      <c r="BX172" s="60" t="s">
        <v>172</v>
      </c>
      <c r="BY172" s="60"/>
      <c r="BZ172" s="60"/>
      <c r="CA172" s="60" t="s">
        <v>508</v>
      </c>
      <c r="CB172" s="60" t="s">
        <v>867</v>
      </c>
      <c r="CC172" s="60"/>
      <c r="CD172" s="60"/>
      <c r="CE172" s="60"/>
      <c r="CF172" s="60"/>
      <c r="CG172" s="60">
        <v>60</v>
      </c>
      <c r="CH172" s="60">
        <v>365</v>
      </c>
      <c r="CI172" s="32">
        <v>5</v>
      </c>
      <c r="CJ172" s="32">
        <v>15</v>
      </c>
      <c r="CK172" s="32">
        <v>5</v>
      </c>
      <c r="CL172" s="32">
        <v>10</v>
      </c>
      <c r="CM172" s="33" t="s">
        <v>868</v>
      </c>
      <c r="CN172" s="34">
        <v>10</v>
      </c>
      <c r="CO172" s="34">
        <v>60</v>
      </c>
      <c r="CP172" s="35" t="s">
        <v>869</v>
      </c>
      <c r="CQ172" s="35" t="s">
        <v>209</v>
      </c>
      <c r="CR172" s="36">
        <v>0</v>
      </c>
      <c r="CS172" s="36">
        <v>0</v>
      </c>
      <c r="CT172" s="36">
        <v>8</v>
      </c>
      <c r="CU172" s="36">
        <v>4</v>
      </c>
      <c r="CV172" s="36">
        <v>8</v>
      </c>
      <c r="CW172" s="36">
        <v>10</v>
      </c>
      <c r="CX172" s="36">
        <v>6</v>
      </c>
      <c r="CY172" s="36">
        <v>20</v>
      </c>
      <c r="CZ172" s="36">
        <v>8</v>
      </c>
      <c r="DA172" s="37">
        <v>0</v>
      </c>
      <c r="DB172" s="37">
        <v>0</v>
      </c>
      <c r="DC172" s="37">
        <v>60</v>
      </c>
      <c r="DD172" s="37">
        <v>25</v>
      </c>
      <c r="DE172" s="37">
        <v>50</v>
      </c>
      <c r="DF172" s="37">
        <v>80</v>
      </c>
      <c r="DG172" s="37">
        <v>40</v>
      </c>
      <c r="DH172" s="37">
        <v>350</v>
      </c>
      <c r="DI172" s="37">
        <v>80</v>
      </c>
      <c r="DJ172" s="38" t="s">
        <v>870</v>
      </c>
      <c r="DK172" s="39" t="s">
        <v>409</v>
      </c>
      <c r="DL172" s="40">
        <v>150</v>
      </c>
      <c r="DM172" s="39" t="s">
        <v>871</v>
      </c>
      <c r="DN172" s="41"/>
      <c r="DO172" s="41"/>
      <c r="DP172" s="41"/>
      <c r="DQ172" s="41"/>
      <c r="DR172" s="41"/>
      <c r="DS172" s="24" t="s">
        <v>182</v>
      </c>
      <c r="DT172" s="25" t="s">
        <v>183</v>
      </c>
      <c r="DU172" s="25" t="s">
        <v>183</v>
      </c>
      <c r="DV172" s="25" t="s">
        <v>183</v>
      </c>
      <c r="DW172" s="24" t="s">
        <v>182</v>
      </c>
      <c r="DX172" s="41"/>
      <c r="DY172" s="41"/>
      <c r="DZ172" s="42" t="s">
        <v>872</v>
      </c>
      <c r="EA172" s="42" t="s">
        <v>873</v>
      </c>
      <c r="EB172" s="26" t="s">
        <v>186</v>
      </c>
      <c r="EC172" s="44" t="s">
        <v>874</v>
      </c>
      <c r="ED172" s="45" t="s">
        <v>327</v>
      </c>
      <c r="EE172" s="46">
        <v>2</v>
      </c>
      <c r="EF172" s="50" t="s">
        <v>327</v>
      </c>
    </row>
    <row r="173" spans="1:136" ht="15" customHeight="1" x14ac:dyDescent="0.25">
      <c r="A173" s="16" t="s">
        <v>1328</v>
      </c>
      <c r="B173" s="17" t="s">
        <v>409</v>
      </c>
      <c r="C173" s="17" t="s">
        <v>1329</v>
      </c>
      <c r="D173" s="18">
        <v>50</v>
      </c>
      <c r="E173" s="18">
        <v>1</v>
      </c>
      <c r="F173" s="18">
        <v>12.18</v>
      </c>
      <c r="G173" s="18">
        <v>1.6</v>
      </c>
      <c r="H173" s="18">
        <v>0.3</v>
      </c>
      <c r="I173" s="18">
        <v>16</v>
      </c>
      <c r="J173" s="18">
        <v>0.32</v>
      </c>
      <c r="K173" s="18">
        <v>9</v>
      </c>
      <c r="L173" s="18">
        <v>15</v>
      </c>
      <c r="M173" s="18">
        <v>173</v>
      </c>
      <c r="N173" s="18">
        <v>3</v>
      </c>
      <c r="O173" s="18">
        <v>0.1</v>
      </c>
      <c r="P173" s="18">
        <v>0.104</v>
      </c>
      <c r="Q173" s="18">
        <v>0.112</v>
      </c>
      <c r="R173" s="18">
        <v>0</v>
      </c>
      <c r="S173" s="18">
        <v>1283</v>
      </c>
      <c r="T173" s="18">
        <v>7.0000000000000007E-2</v>
      </c>
      <c r="U173" s="18">
        <v>10</v>
      </c>
      <c r="V173" s="18">
        <v>0.03</v>
      </c>
      <c r="W173" s="18">
        <v>0.04</v>
      </c>
      <c r="X173" s="18">
        <v>0.4</v>
      </c>
      <c r="Y173" s="18">
        <v>4.3999999999999997E-2</v>
      </c>
      <c r="Z173" s="18">
        <v>0</v>
      </c>
      <c r="AA173" s="18">
        <v>8</v>
      </c>
      <c r="AB173" s="18">
        <v>8970</v>
      </c>
      <c r="AC173" s="18" t="s">
        <v>1330</v>
      </c>
      <c r="AD173" s="18" t="s">
        <v>221</v>
      </c>
      <c r="AE173" s="18" t="s">
        <v>413</v>
      </c>
      <c r="AF173" s="18">
        <v>0</v>
      </c>
      <c r="AG173" s="18" t="s">
        <v>1331</v>
      </c>
      <c r="AH173" s="18" t="s">
        <v>1332</v>
      </c>
      <c r="AI173" s="18" t="s">
        <v>155</v>
      </c>
      <c r="AJ173" s="18" t="s">
        <v>337</v>
      </c>
      <c r="AK173" s="18" t="s">
        <v>157</v>
      </c>
      <c r="AL173" s="18" t="s">
        <v>314</v>
      </c>
      <c r="AM173" s="18">
        <v>0</v>
      </c>
      <c r="AN173" s="18" t="s">
        <v>417</v>
      </c>
      <c r="AO173" s="18" t="s">
        <v>339</v>
      </c>
      <c r="AP173" s="18" t="s">
        <v>419</v>
      </c>
      <c r="AQ173" s="18" t="s">
        <v>485</v>
      </c>
      <c r="AR173" s="18">
        <v>15</v>
      </c>
      <c r="AS173" s="18">
        <v>25</v>
      </c>
      <c r="AT173" s="18">
        <v>4</v>
      </c>
      <c r="AU173" s="18">
        <v>30</v>
      </c>
      <c r="AV173" s="18">
        <v>800</v>
      </c>
      <c r="AW173" s="18">
        <v>1600</v>
      </c>
      <c r="AX173" s="18">
        <v>500</v>
      </c>
      <c r="AY173" s="18">
        <v>2700</v>
      </c>
      <c r="AZ173" s="18">
        <v>6</v>
      </c>
      <c r="BA173" s="18">
        <v>6.5</v>
      </c>
      <c r="BB173" s="18">
        <v>4.5</v>
      </c>
      <c r="BC173" s="18">
        <v>7.5</v>
      </c>
      <c r="BD173" s="18">
        <v>45</v>
      </c>
      <c r="BE173" s="18">
        <v>30</v>
      </c>
      <c r="BF173" s="18">
        <v>60</v>
      </c>
      <c r="BG173" s="18">
        <v>60</v>
      </c>
      <c r="BH173" s="18">
        <v>800</v>
      </c>
      <c r="BI173" s="18" t="s">
        <v>163</v>
      </c>
      <c r="BJ173" s="18" t="s">
        <v>164</v>
      </c>
      <c r="BK173" s="18" t="s">
        <v>163</v>
      </c>
      <c r="BL173" s="18" t="s">
        <v>165</v>
      </c>
      <c r="BM173" s="18" t="s">
        <v>288</v>
      </c>
      <c r="BN173" s="18" t="s">
        <v>166</v>
      </c>
      <c r="BO173" t="s">
        <v>202</v>
      </c>
      <c r="BP173" t="s">
        <v>203</v>
      </c>
      <c r="BQ173" t="s">
        <v>170</v>
      </c>
      <c r="BR173" t="s">
        <v>230</v>
      </c>
      <c r="BS173">
        <v>0</v>
      </c>
      <c r="BT173">
        <v>0</v>
      </c>
      <c r="BU173" t="s">
        <v>171</v>
      </c>
      <c r="BV173" t="s">
        <v>171</v>
      </c>
      <c r="BW173" t="s">
        <v>172</v>
      </c>
      <c r="BX173" t="s">
        <v>172</v>
      </c>
      <c r="BY173">
        <v>-10</v>
      </c>
      <c r="BZ173">
        <v>-4</v>
      </c>
      <c r="CA173" t="s">
        <v>173</v>
      </c>
      <c r="CB173" t="s">
        <v>1333</v>
      </c>
      <c r="CC173">
        <v>0</v>
      </c>
      <c r="CD173">
        <v>0</v>
      </c>
      <c r="CE173">
        <v>0</v>
      </c>
      <c r="CF173">
        <v>0</v>
      </c>
      <c r="CG173">
        <v>180</v>
      </c>
      <c r="CH173">
        <v>240</v>
      </c>
      <c r="CI173" s="19">
        <v>4</v>
      </c>
      <c r="CJ173" s="19">
        <v>8</v>
      </c>
      <c r="CK173" s="19">
        <v>4</v>
      </c>
      <c r="CL173" s="19">
        <v>7</v>
      </c>
      <c r="CM173" s="17" t="s">
        <v>868</v>
      </c>
      <c r="CN173" s="20">
        <v>2</v>
      </c>
      <c r="CO173" s="20">
        <v>15</v>
      </c>
      <c r="CP173" s="17" t="s">
        <v>1334</v>
      </c>
      <c r="CQ173" s="17" t="s">
        <v>209</v>
      </c>
      <c r="CR173" s="21">
        <v>0</v>
      </c>
      <c r="CS173" s="21">
        <v>0</v>
      </c>
      <c r="CT173" s="21">
        <v>6</v>
      </c>
      <c r="CU173" s="21">
        <v>3</v>
      </c>
      <c r="CV173" s="21">
        <v>6</v>
      </c>
      <c r="CW173" s="21">
        <v>15</v>
      </c>
      <c r="CX173" s="21">
        <v>4</v>
      </c>
      <c r="CY173" s="21">
        <v>15</v>
      </c>
      <c r="CZ173" s="21">
        <v>8</v>
      </c>
      <c r="DA173" s="21">
        <v>0</v>
      </c>
      <c r="DB173" s="21">
        <v>0</v>
      </c>
      <c r="DC173" s="21">
        <v>60</v>
      </c>
      <c r="DD173" s="21">
        <v>20</v>
      </c>
      <c r="DE173" s="21">
        <v>40</v>
      </c>
      <c r="DF173" s="21">
        <v>120</v>
      </c>
      <c r="DG173" s="21">
        <v>25</v>
      </c>
      <c r="DH173" s="21">
        <v>400</v>
      </c>
      <c r="DI173" s="21">
        <v>80</v>
      </c>
      <c r="DJ173" s="17" t="s">
        <v>1335</v>
      </c>
      <c r="DK173" s="17" t="s">
        <v>409</v>
      </c>
      <c r="DL173" s="22">
        <v>150</v>
      </c>
      <c r="DM173" s="17" t="s">
        <v>1336</v>
      </c>
      <c r="DN173" s="25" t="s">
        <v>183</v>
      </c>
      <c r="DO173" s="24" t="s">
        <v>182</v>
      </c>
      <c r="DP173" s="23"/>
      <c r="DQ173" s="23"/>
      <c r="DR173" s="23"/>
      <c r="DS173" s="23"/>
      <c r="DT173" s="23"/>
      <c r="DU173" s="23"/>
      <c r="DV173" s="23"/>
      <c r="DW173" s="23"/>
      <c r="DX173" s="24" t="s">
        <v>182</v>
      </c>
      <c r="DY173" s="25" t="s">
        <v>183</v>
      </c>
      <c r="DZ173" s="17" t="s">
        <v>1337</v>
      </c>
      <c r="EA173" s="17" t="s">
        <v>1338</v>
      </c>
      <c r="EB173" s="52" t="s">
        <v>301</v>
      </c>
      <c r="EC173" s="17" t="s">
        <v>1097</v>
      </c>
      <c r="ED173" s="27" t="s">
        <v>496</v>
      </c>
      <c r="EE173" s="22">
        <v>7</v>
      </c>
      <c r="EF173" s="54" t="s">
        <v>304</v>
      </c>
    </row>
    <row r="174" spans="1:136" ht="15" customHeight="1" x14ac:dyDescent="0.25">
      <c r="A174" s="16" t="s">
        <v>429</v>
      </c>
      <c r="B174" s="29" t="s">
        <v>409</v>
      </c>
      <c r="C174" s="29" t="s">
        <v>430</v>
      </c>
      <c r="D174" s="30">
        <v>39.700000000000003</v>
      </c>
      <c r="E174" s="30">
        <v>0.2</v>
      </c>
      <c r="F174" s="30">
        <v>0.4</v>
      </c>
      <c r="G174" s="30">
        <v>7.3</v>
      </c>
      <c r="H174" s="30">
        <v>1.8</v>
      </c>
      <c r="I174" s="30">
        <v>12</v>
      </c>
      <c r="J174" s="30">
        <v>0.25</v>
      </c>
      <c r="K174" s="30">
        <v>11</v>
      </c>
      <c r="L174" s="30">
        <v>22</v>
      </c>
      <c r="M174" s="30">
        <v>260</v>
      </c>
      <c r="N174" s="30">
        <v>1</v>
      </c>
      <c r="O174" s="30">
        <v>0.15</v>
      </c>
      <c r="P174" s="30">
        <v>7.3999999999999996E-2</v>
      </c>
      <c r="Q174" s="30">
        <v>0.125</v>
      </c>
      <c r="R174" s="30">
        <v>0</v>
      </c>
      <c r="S174" s="30">
        <v>301</v>
      </c>
      <c r="T174" s="30">
        <v>0.8</v>
      </c>
      <c r="U174" s="30">
        <v>2</v>
      </c>
      <c r="V174" s="30">
        <v>0.02</v>
      </c>
      <c r="W174" s="30">
        <v>0.03</v>
      </c>
      <c r="X174" s="30">
        <v>0.15</v>
      </c>
      <c r="Y174" s="30">
        <v>0.04</v>
      </c>
      <c r="Z174" s="30">
        <v>0</v>
      </c>
      <c r="AA174" s="30">
        <v>8</v>
      </c>
      <c r="AB174" s="31">
        <v>2398</v>
      </c>
      <c r="AC174" s="31" t="s">
        <v>431</v>
      </c>
      <c r="AD174" s="31" t="s">
        <v>221</v>
      </c>
      <c r="AE174" s="31" t="s">
        <v>413</v>
      </c>
      <c r="AF174" s="31"/>
      <c r="AG174" s="31" t="s">
        <v>432</v>
      </c>
      <c r="AH174" s="31" t="s">
        <v>433</v>
      </c>
      <c r="AI174" s="31" t="s">
        <v>155</v>
      </c>
      <c r="AJ174" s="31" t="s">
        <v>337</v>
      </c>
      <c r="AK174" s="31" t="s">
        <v>157</v>
      </c>
      <c r="AL174" s="31" t="s">
        <v>314</v>
      </c>
      <c r="AM174" s="31"/>
      <c r="AN174" s="31" t="s">
        <v>417</v>
      </c>
      <c r="AO174" s="31" t="s">
        <v>434</v>
      </c>
      <c r="AP174" s="31" t="s">
        <v>286</v>
      </c>
      <c r="AQ174" s="31" t="s">
        <v>162</v>
      </c>
      <c r="AR174" s="31">
        <v>14</v>
      </c>
      <c r="AS174" s="31">
        <v>35</v>
      </c>
      <c r="AT174" s="31">
        <v>7</v>
      </c>
      <c r="AU174" s="31">
        <v>40</v>
      </c>
      <c r="AV174" s="31">
        <v>900</v>
      </c>
      <c r="AW174" s="31">
        <v>1300</v>
      </c>
      <c r="AX174" s="31">
        <v>800</v>
      </c>
      <c r="AY174" s="31">
        <v>1470</v>
      </c>
      <c r="AZ174" s="31">
        <v>6.5</v>
      </c>
      <c r="BA174" s="31">
        <v>7</v>
      </c>
      <c r="BB174" s="31">
        <v>5</v>
      </c>
      <c r="BC174" s="31">
        <v>8</v>
      </c>
      <c r="BD174" s="31"/>
      <c r="BE174" s="31"/>
      <c r="BF174" s="31"/>
      <c r="BG174" s="31"/>
      <c r="BH174" s="31">
        <v>2000</v>
      </c>
      <c r="BI174" s="31" t="s">
        <v>163</v>
      </c>
      <c r="BJ174" s="31" t="s">
        <v>163</v>
      </c>
      <c r="BK174" s="31" t="s">
        <v>163</v>
      </c>
      <c r="BL174" s="31" t="s">
        <v>164</v>
      </c>
      <c r="BM174" s="31" t="s">
        <v>288</v>
      </c>
      <c r="BN174" s="31" t="s">
        <v>166</v>
      </c>
      <c r="BO174" s="60" t="s">
        <v>202</v>
      </c>
      <c r="BP174" s="60" t="s">
        <v>203</v>
      </c>
      <c r="BQ174" s="60" t="s">
        <v>170</v>
      </c>
      <c r="BR174" s="60" t="s">
        <v>170</v>
      </c>
      <c r="BS174" s="60"/>
      <c r="BT174" s="60"/>
      <c r="BU174" s="60" t="s">
        <v>171</v>
      </c>
      <c r="BV174" s="60" t="s">
        <v>171</v>
      </c>
      <c r="BW174" s="60" t="s">
        <v>172</v>
      </c>
      <c r="BX174" s="60" t="s">
        <v>172</v>
      </c>
      <c r="BY174" s="60">
        <v>-5</v>
      </c>
      <c r="BZ174" s="60">
        <v>-1</v>
      </c>
      <c r="CA174" s="60" t="s">
        <v>173</v>
      </c>
      <c r="CB174" s="60" t="s">
        <v>420</v>
      </c>
      <c r="CC174" s="60"/>
      <c r="CD174" s="60"/>
      <c r="CE174" s="60"/>
      <c r="CF174" s="60"/>
      <c r="CG174" s="60">
        <v>180</v>
      </c>
      <c r="CH174" s="60">
        <v>240</v>
      </c>
      <c r="CI174" s="32">
        <v>3</v>
      </c>
      <c r="CJ174" s="32">
        <v>8</v>
      </c>
      <c r="CK174" s="32">
        <v>3</v>
      </c>
      <c r="CL174" s="32">
        <v>7</v>
      </c>
      <c r="CM174" s="33" t="s">
        <v>435</v>
      </c>
      <c r="CN174" s="34">
        <v>3</v>
      </c>
      <c r="CO174" s="34">
        <v>25</v>
      </c>
      <c r="CP174" s="35" t="s">
        <v>436</v>
      </c>
      <c r="CQ174" s="35" t="s">
        <v>209</v>
      </c>
      <c r="CR174" s="36">
        <v>0</v>
      </c>
      <c r="CS174" s="36">
        <v>0</v>
      </c>
      <c r="CT174" s="36">
        <v>6</v>
      </c>
      <c r="CU174" s="36">
        <v>3</v>
      </c>
      <c r="CV174" s="36">
        <v>6</v>
      </c>
      <c r="CW174" s="36">
        <v>20</v>
      </c>
      <c r="CX174" s="36">
        <v>5</v>
      </c>
      <c r="CY174" s="36">
        <v>30</v>
      </c>
      <c r="CZ174" s="36">
        <v>8</v>
      </c>
      <c r="DA174" s="37">
        <v>0</v>
      </c>
      <c r="DB174" s="37">
        <v>0</v>
      </c>
      <c r="DC174" s="37">
        <v>60</v>
      </c>
      <c r="DD174" s="37">
        <v>20</v>
      </c>
      <c r="DE174" s="37">
        <v>40</v>
      </c>
      <c r="DF174" s="37">
        <v>120</v>
      </c>
      <c r="DG174" s="37">
        <v>30</v>
      </c>
      <c r="DH174" s="37">
        <v>400</v>
      </c>
      <c r="DI174" s="37">
        <v>80</v>
      </c>
      <c r="DJ174" s="38" t="s">
        <v>437</v>
      </c>
      <c r="DK174" s="39" t="s">
        <v>409</v>
      </c>
      <c r="DL174" s="40">
        <v>150</v>
      </c>
      <c r="DM174" s="39" t="s">
        <v>438</v>
      </c>
      <c r="DN174" s="25" t="s">
        <v>183</v>
      </c>
      <c r="DO174" s="24" t="s">
        <v>182</v>
      </c>
      <c r="DP174" s="41"/>
      <c r="DQ174" s="41"/>
      <c r="DR174" s="41"/>
      <c r="DS174" s="41"/>
      <c r="DT174" s="41"/>
      <c r="DU174" s="41"/>
      <c r="DV174" s="41"/>
      <c r="DW174" s="41"/>
      <c r="DX174" s="24" t="s">
        <v>182</v>
      </c>
      <c r="DY174" s="25" t="s">
        <v>183</v>
      </c>
      <c r="DZ174" s="42" t="s">
        <v>439</v>
      </c>
      <c r="EA174" s="42" t="s">
        <v>440</v>
      </c>
      <c r="EB174" s="52" t="s">
        <v>301</v>
      </c>
      <c r="EC174" s="44" t="s">
        <v>441</v>
      </c>
      <c r="ED174" s="45" t="s">
        <v>442</v>
      </c>
      <c r="EE174" s="46">
        <v>6</v>
      </c>
      <c r="EF174" s="47" t="s">
        <v>217</v>
      </c>
    </row>
    <row r="175" spans="1:136" ht="15" customHeight="1" x14ac:dyDescent="0.25">
      <c r="A175" s="16" t="s">
        <v>711</v>
      </c>
      <c r="B175" s="17" t="s">
        <v>409</v>
      </c>
      <c r="C175" s="17" t="s">
        <v>712</v>
      </c>
      <c r="D175" s="18">
        <v>63.6</v>
      </c>
      <c r="E175" s="18">
        <v>1.9</v>
      </c>
      <c r="F175" s="18">
        <v>0.9</v>
      </c>
      <c r="G175" s="18">
        <v>9.4</v>
      </c>
      <c r="H175" s="18">
        <v>6.5</v>
      </c>
      <c r="I175" s="18">
        <v>62</v>
      </c>
      <c r="J175" s="18">
        <v>0.86</v>
      </c>
      <c r="K175" s="18">
        <v>20</v>
      </c>
      <c r="L175" s="18">
        <v>19</v>
      </c>
      <c r="M175" s="18">
        <v>186</v>
      </c>
      <c r="N175" s="18">
        <v>10</v>
      </c>
      <c r="O175" s="18">
        <v>0.17</v>
      </c>
      <c r="P175" s="18"/>
      <c r="Q175" s="18"/>
      <c r="R175" s="18">
        <v>0</v>
      </c>
      <c r="S175" s="18">
        <v>29</v>
      </c>
      <c r="T175" s="18">
        <v>0.15</v>
      </c>
      <c r="U175" s="18">
        <v>44</v>
      </c>
      <c r="V175" s="18">
        <v>3.6999999999999998E-2</v>
      </c>
      <c r="W175" s="18">
        <v>0.09</v>
      </c>
      <c r="X175" s="18">
        <v>0.43</v>
      </c>
      <c r="Y175" s="18">
        <v>0.04</v>
      </c>
      <c r="Z175" s="18">
        <v>0</v>
      </c>
      <c r="AA175" s="18">
        <v>17</v>
      </c>
      <c r="AB175" s="18">
        <v>6252</v>
      </c>
      <c r="AC175" s="18" t="s">
        <v>713</v>
      </c>
      <c r="AD175" s="18" t="s">
        <v>714</v>
      </c>
      <c r="AE175" s="18" t="s">
        <v>715</v>
      </c>
      <c r="AF175" s="18"/>
      <c r="AG175" s="18" t="s">
        <v>716</v>
      </c>
      <c r="AH175" s="18" t="s">
        <v>717</v>
      </c>
      <c r="AI175" s="18" t="s">
        <v>226</v>
      </c>
      <c r="AJ175" s="18" t="s">
        <v>621</v>
      </c>
      <c r="AK175" s="18" t="s">
        <v>157</v>
      </c>
      <c r="AL175" s="18" t="s">
        <v>314</v>
      </c>
      <c r="AM175" s="18"/>
      <c r="AN175" s="18" t="s">
        <v>718</v>
      </c>
      <c r="AO175" s="18" t="s">
        <v>484</v>
      </c>
      <c r="AP175" s="18" t="s">
        <v>419</v>
      </c>
      <c r="AQ175" s="18"/>
      <c r="AR175" s="18">
        <v>26</v>
      </c>
      <c r="AS175" s="18">
        <v>37</v>
      </c>
      <c r="AT175" s="18">
        <v>12</v>
      </c>
      <c r="AU175" s="18">
        <v>40</v>
      </c>
      <c r="AV175" s="18">
        <v>1100</v>
      </c>
      <c r="AW175" s="18">
        <v>1500</v>
      </c>
      <c r="AX175" s="18">
        <v>700</v>
      </c>
      <c r="AY175" s="18">
        <v>4000</v>
      </c>
      <c r="AZ175" s="18">
        <v>6.5</v>
      </c>
      <c r="BA175" s="18">
        <v>7.5</v>
      </c>
      <c r="BB175" s="18">
        <v>6</v>
      </c>
      <c r="BC175" s="18">
        <v>8</v>
      </c>
      <c r="BD175" s="18">
        <v>10</v>
      </c>
      <c r="BE175" s="18">
        <v>10</v>
      </c>
      <c r="BF175" s="18">
        <v>45</v>
      </c>
      <c r="BG175" s="18">
        <v>45</v>
      </c>
      <c r="BH175" s="18">
        <v>1000</v>
      </c>
      <c r="BI175" s="18" t="s">
        <v>163</v>
      </c>
      <c r="BJ175" s="18" t="s">
        <v>164</v>
      </c>
      <c r="BK175" s="18" t="s">
        <v>163</v>
      </c>
      <c r="BL175" s="18" t="s">
        <v>165</v>
      </c>
      <c r="BM175" s="18" t="s">
        <v>166</v>
      </c>
      <c r="BN175" s="18" t="s">
        <v>166</v>
      </c>
      <c r="BO175" s="59" t="s">
        <v>202</v>
      </c>
      <c r="BP175" s="59" t="s">
        <v>202</v>
      </c>
      <c r="BQ175" s="59" t="s">
        <v>169</v>
      </c>
      <c r="BR175" s="59" t="s">
        <v>170</v>
      </c>
      <c r="BS175" s="59"/>
      <c r="BT175" s="59"/>
      <c r="BU175" s="59" t="s">
        <v>171</v>
      </c>
      <c r="BV175" s="59" t="s">
        <v>171</v>
      </c>
      <c r="BW175" s="59" t="s">
        <v>172</v>
      </c>
      <c r="BX175" s="59" t="s">
        <v>172</v>
      </c>
      <c r="BY175" s="59">
        <v>-15</v>
      </c>
      <c r="BZ175" s="59">
        <v>0</v>
      </c>
      <c r="CA175" s="59" t="s">
        <v>173</v>
      </c>
      <c r="CB175" s="59" t="s">
        <v>719</v>
      </c>
      <c r="CC175" s="59" t="s">
        <v>720</v>
      </c>
      <c r="CD175" s="59"/>
      <c r="CE175" s="59"/>
      <c r="CF175" s="59"/>
      <c r="CG175" s="59">
        <v>210</v>
      </c>
      <c r="CH175" s="59">
        <v>365</v>
      </c>
      <c r="CI175" s="32">
        <v>2</v>
      </c>
      <c r="CJ175" s="32">
        <v>4.5</v>
      </c>
      <c r="CK175" s="32">
        <v>1.5</v>
      </c>
      <c r="CL175" s="32">
        <v>3.5</v>
      </c>
      <c r="CM175" s="33" t="s">
        <v>721</v>
      </c>
      <c r="CN175" s="34">
        <v>5</v>
      </c>
      <c r="CO175" s="34">
        <v>20</v>
      </c>
      <c r="CP175" s="35" t="s">
        <v>722</v>
      </c>
      <c r="CQ175" s="35" t="s">
        <v>723</v>
      </c>
      <c r="CR175" s="36">
        <v>0</v>
      </c>
      <c r="CS175" s="36">
        <v>0</v>
      </c>
      <c r="CT175" s="36">
        <v>5</v>
      </c>
      <c r="CU175" s="36">
        <v>3</v>
      </c>
      <c r="CV175" s="36">
        <v>5</v>
      </c>
      <c r="CW175" s="36">
        <v>8</v>
      </c>
      <c r="CX175" s="36">
        <v>4</v>
      </c>
      <c r="CY175" s="36">
        <v>20</v>
      </c>
      <c r="CZ175" s="36">
        <v>8</v>
      </c>
      <c r="DA175" s="37">
        <v>0</v>
      </c>
      <c r="DB175" s="37">
        <v>0</v>
      </c>
      <c r="DC175" s="37">
        <v>40</v>
      </c>
      <c r="DD175" s="37">
        <v>20</v>
      </c>
      <c r="DE175" s="37">
        <v>35</v>
      </c>
      <c r="DF175" s="37">
        <v>60</v>
      </c>
      <c r="DG175" s="37">
        <v>25</v>
      </c>
      <c r="DH175" s="37">
        <v>350</v>
      </c>
      <c r="DI175" s="37">
        <v>80</v>
      </c>
      <c r="DJ175" s="38" t="s">
        <v>724</v>
      </c>
      <c r="DK175" s="39" t="s">
        <v>409</v>
      </c>
      <c r="DL175" s="40">
        <v>150</v>
      </c>
      <c r="DM175" s="39" t="s">
        <v>725</v>
      </c>
      <c r="DN175" s="41"/>
      <c r="DO175" s="41"/>
      <c r="DP175" s="41"/>
      <c r="DQ175" s="41"/>
      <c r="DR175" s="24" t="s">
        <v>182</v>
      </c>
      <c r="DS175" s="25" t="s">
        <v>183</v>
      </c>
      <c r="DT175" s="25" t="s">
        <v>183</v>
      </c>
      <c r="DU175" s="25" t="s">
        <v>183</v>
      </c>
      <c r="DV175" s="24" t="s">
        <v>182</v>
      </c>
      <c r="DW175" s="41"/>
      <c r="DX175" s="41"/>
      <c r="DY175" s="41"/>
      <c r="DZ175" s="42" t="s">
        <v>726</v>
      </c>
      <c r="EA175" s="42" t="s">
        <v>727</v>
      </c>
      <c r="EB175" s="52" t="s">
        <v>301</v>
      </c>
      <c r="EC175" s="44" t="s">
        <v>728</v>
      </c>
      <c r="ED175" s="45" t="s">
        <v>303</v>
      </c>
      <c r="EE175" s="46">
        <v>6</v>
      </c>
      <c r="EF175" s="47" t="s">
        <v>729</v>
      </c>
    </row>
    <row r="176" spans="1:136" ht="15" customHeight="1" x14ac:dyDescent="0.25">
      <c r="A176" s="16" t="s">
        <v>218</v>
      </c>
      <c r="B176" s="29" t="s">
        <v>191</v>
      </c>
      <c r="C176" s="29" t="s">
        <v>219</v>
      </c>
      <c r="D176" s="30">
        <v>32.5</v>
      </c>
      <c r="E176" s="30">
        <v>1.3</v>
      </c>
      <c r="F176" s="30">
        <v>0</v>
      </c>
      <c r="G176" s="30">
        <v>5.8</v>
      </c>
      <c r="H176" s="30">
        <v>2.2999999999999998</v>
      </c>
      <c r="I176" s="30">
        <v>23</v>
      </c>
      <c r="J176" s="30">
        <v>0.24</v>
      </c>
      <c r="K176" s="30">
        <v>12</v>
      </c>
      <c r="L176" s="30">
        <v>44</v>
      </c>
      <c r="M176" s="30">
        <v>180</v>
      </c>
      <c r="N176" s="30">
        <v>8</v>
      </c>
      <c r="O176" s="30">
        <v>0.2</v>
      </c>
      <c r="P176" s="30">
        <v>4.8000000000000001E-2</v>
      </c>
      <c r="Q176" s="30">
        <v>0.15</v>
      </c>
      <c r="R176" s="30">
        <v>0</v>
      </c>
      <c r="S176" s="30">
        <v>0</v>
      </c>
      <c r="T176" s="30">
        <v>0</v>
      </c>
      <c r="U176" s="30">
        <v>7</v>
      </c>
      <c r="V176" s="30">
        <v>0.02</v>
      </c>
      <c r="W176" s="30">
        <v>0</v>
      </c>
      <c r="X176" s="30">
        <v>0</v>
      </c>
      <c r="Y176" s="30">
        <v>0.04</v>
      </c>
      <c r="Z176" s="30">
        <v>0</v>
      </c>
      <c r="AA176" s="30">
        <v>21</v>
      </c>
      <c r="AB176" s="31">
        <v>364</v>
      </c>
      <c r="AC176" s="31" t="s">
        <v>220</v>
      </c>
      <c r="AD176" s="31" t="s">
        <v>221</v>
      </c>
      <c r="AE176" s="31" t="s">
        <v>222</v>
      </c>
      <c r="AF176" s="31" t="s">
        <v>223</v>
      </c>
      <c r="AG176" s="31" t="s">
        <v>224</v>
      </c>
      <c r="AH176" s="31" t="s">
        <v>225</v>
      </c>
      <c r="AI176" s="31" t="s">
        <v>226</v>
      </c>
      <c r="AJ176" s="31" t="s">
        <v>156</v>
      </c>
      <c r="AK176" s="31" t="s">
        <v>157</v>
      </c>
      <c r="AL176" s="31" t="s">
        <v>227</v>
      </c>
      <c r="AM176" s="31"/>
      <c r="AN176" s="31"/>
      <c r="AO176" s="31" t="s">
        <v>228</v>
      </c>
      <c r="AP176" s="31" t="s">
        <v>161</v>
      </c>
      <c r="AQ176" s="31" t="s">
        <v>162</v>
      </c>
      <c r="AR176" s="31">
        <v>12</v>
      </c>
      <c r="AS176" s="31">
        <v>25</v>
      </c>
      <c r="AT176" s="31">
        <v>4</v>
      </c>
      <c r="AU176" s="31">
        <v>30</v>
      </c>
      <c r="AV176" s="31">
        <v>350</v>
      </c>
      <c r="AW176" s="31">
        <v>600</v>
      </c>
      <c r="AX176" s="31">
        <v>300</v>
      </c>
      <c r="AY176" s="31">
        <v>2800</v>
      </c>
      <c r="AZ176" s="31">
        <v>6</v>
      </c>
      <c r="BA176" s="31">
        <v>7</v>
      </c>
      <c r="BB176" s="31">
        <v>4.3</v>
      </c>
      <c r="BC176" s="31">
        <v>8.3000000000000007</v>
      </c>
      <c r="BD176" s="31"/>
      <c r="BE176" s="31"/>
      <c r="BF176" s="31">
        <v>60</v>
      </c>
      <c r="BG176" s="31">
        <v>60</v>
      </c>
      <c r="BH176" s="31">
        <v>2000</v>
      </c>
      <c r="BI176" s="31" t="s">
        <v>164</v>
      </c>
      <c r="BJ176" s="31" t="s">
        <v>164</v>
      </c>
      <c r="BK176" s="31" t="s">
        <v>165</v>
      </c>
      <c r="BL176" s="31" t="s">
        <v>163</v>
      </c>
      <c r="BM176" s="31" t="s">
        <v>166</v>
      </c>
      <c r="BN176" s="31" t="s">
        <v>201</v>
      </c>
      <c r="BO176" s="60" t="s">
        <v>167</v>
      </c>
      <c r="BP176" s="60" t="s">
        <v>229</v>
      </c>
      <c r="BQ176" s="60" t="s">
        <v>170</v>
      </c>
      <c r="BR176" s="60" t="s">
        <v>230</v>
      </c>
      <c r="BS176" s="60"/>
      <c r="BT176" s="60"/>
      <c r="BU176" s="60" t="s">
        <v>171</v>
      </c>
      <c r="BV176" s="60" t="s">
        <v>231</v>
      </c>
      <c r="BW176" s="60" t="s">
        <v>172</v>
      </c>
      <c r="BX176" s="60" t="s">
        <v>172</v>
      </c>
      <c r="BY176" s="60"/>
      <c r="BZ176" s="60"/>
      <c r="CA176" s="60" t="s">
        <v>173</v>
      </c>
      <c r="CB176" s="60" t="s">
        <v>232</v>
      </c>
      <c r="CC176" s="60"/>
      <c r="CD176" s="60"/>
      <c r="CE176" s="60"/>
      <c r="CF176" s="60" t="s">
        <v>206</v>
      </c>
      <c r="CG176" s="60">
        <v>85</v>
      </c>
      <c r="CH176" s="60">
        <v>175</v>
      </c>
      <c r="CI176" s="19">
        <v>0.3</v>
      </c>
      <c r="CJ176" s="19">
        <v>0.8</v>
      </c>
      <c r="CK176" s="19">
        <v>0.1</v>
      </c>
      <c r="CL176" s="19">
        <v>0.2</v>
      </c>
      <c r="CM176" s="17" t="s">
        <v>233</v>
      </c>
      <c r="CN176" s="20">
        <v>10</v>
      </c>
      <c r="CO176" s="20">
        <v>70</v>
      </c>
      <c r="CP176" s="17" t="s">
        <v>234</v>
      </c>
      <c r="CQ176" s="17" t="s">
        <v>209</v>
      </c>
      <c r="CR176" s="21">
        <v>5</v>
      </c>
      <c r="CS176" s="21">
        <v>8</v>
      </c>
      <c r="CT176" s="21">
        <v>10</v>
      </c>
      <c r="CU176" s="21">
        <v>3</v>
      </c>
      <c r="CV176" s="21">
        <v>5</v>
      </c>
      <c r="CW176" s="21">
        <v>0</v>
      </c>
      <c r="CX176" s="21">
        <v>4</v>
      </c>
      <c r="CY176" s="21">
        <v>10</v>
      </c>
      <c r="CZ176" s="21">
        <v>8</v>
      </c>
      <c r="DA176" s="21">
        <v>140</v>
      </c>
      <c r="DB176" s="21">
        <v>200</v>
      </c>
      <c r="DC176" s="21">
        <v>300</v>
      </c>
      <c r="DD176" s="21">
        <v>30</v>
      </c>
      <c r="DE176" s="21">
        <v>40</v>
      </c>
      <c r="DF176" s="21">
        <v>0</v>
      </c>
      <c r="DG176" s="21">
        <v>40</v>
      </c>
      <c r="DH176" s="21">
        <v>350</v>
      </c>
      <c r="DI176" s="21">
        <v>150</v>
      </c>
      <c r="DJ176" s="17" t="s">
        <v>235</v>
      </c>
      <c r="DK176" s="17" t="s">
        <v>180</v>
      </c>
      <c r="DL176" s="22">
        <v>75</v>
      </c>
      <c r="DM176" s="17" t="s">
        <v>236</v>
      </c>
      <c r="DN176" s="25" t="s">
        <v>183</v>
      </c>
      <c r="DO176" s="24" t="s">
        <v>182</v>
      </c>
      <c r="DP176" s="23"/>
      <c r="DQ176" s="23"/>
      <c r="DR176" s="23"/>
      <c r="DS176" s="23"/>
      <c r="DT176" s="23"/>
      <c r="DU176" s="23"/>
      <c r="DV176" s="24" t="s">
        <v>182</v>
      </c>
      <c r="DW176" s="25" t="s">
        <v>183</v>
      </c>
      <c r="DX176" s="25" t="s">
        <v>183</v>
      </c>
      <c r="DY176" s="25" t="s">
        <v>183</v>
      </c>
      <c r="DZ176" s="17" t="s">
        <v>237</v>
      </c>
      <c r="EA176" s="17" t="s">
        <v>238</v>
      </c>
      <c r="EB176" s="48" t="s">
        <v>239</v>
      </c>
      <c r="EC176" s="17" t="s">
        <v>240</v>
      </c>
      <c r="ED176" s="27" t="s">
        <v>241</v>
      </c>
      <c r="EE176" s="22">
        <v>3</v>
      </c>
      <c r="EF176" s="49" t="s">
        <v>242</v>
      </c>
    </row>
    <row r="177" spans="1:136" ht="15" customHeight="1" x14ac:dyDescent="0.25">
      <c r="A177" s="16" t="s">
        <v>1204</v>
      </c>
      <c r="B177" s="17" t="s">
        <v>409</v>
      </c>
      <c r="C177" s="17" t="s">
        <v>1205</v>
      </c>
      <c r="D177" s="18">
        <v>50</v>
      </c>
      <c r="E177" s="18">
        <v>0.6</v>
      </c>
      <c r="F177" s="18">
        <v>0</v>
      </c>
      <c r="G177" s="18">
        <v>9</v>
      </c>
      <c r="H177" s="18">
        <v>2</v>
      </c>
      <c r="I177" s="18">
        <v>5</v>
      </c>
      <c r="J177" s="18">
        <v>0.18</v>
      </c>
      <c r="K177" s="18">
        <v>7</v>
      </c>
      <c r="L177" s="18">
        <v>18</v>
      </c>
      <c r="M177" s="18">
        <v>167</v>
      </c>
      <c r="N177" s="18">
        <v>1</v>
      </c>
      <c r="O177" s="18">
        <v>0.09</v>
      </c>
      <c r="P177" s="18">
        <v>6.3E-2</v>
      </c>
      <c r="Q177" s="18">
        <v>8.1000000000000003E-2</v>
      </c>
      <c r="R177" s="18">
        <v>0</v>
      </c>
      <c r="S177" s="18">
        <v>24</v>
      </c>
      <c r="T177" s="18">
        <v>0.3</v>
      </c>
      <c r="U177" s="18">
        <v>4</v>
      </c>
      <c r="V177" s="18">
        <v>3.2000000000000001E-2</v>
      </c>
      <c r="W177" s="18">
        <v>3.2000000000000001E-2</v>
      </c>
      <c r="X177" s="18">
        <v>0.39</v>
      </c>
      <c r="Y177" s="18">
        <v>0.04</v>
      </c>
      <c r="Z177" s="18">
        <v>0</v>
      </c>
      <c r="AA177" s="18">
        <v>0</v>
      </c>
      <c r="AB177" s="18">
        <v>16203</v>
      </c>
      <c r="AC177" s="18" t="s">
        <v>1206</v>
      </c>
      <c r="AD177" s="18" t="s">
        <v>221</v>
      </c>
      <c r="AE177" s="18" t="s">
        <v>413</v>
      </c>
      <c r="AF177" s="18"/>
      <c r="AG177" s="18" t="s">
        <v>1207</v>
      </c>
      <c r="AH177" s="18" t="s">
        <v>1208</v>
      </c>
      <c r="AI177" s="18" t="s">
        <v>1209</v>
      </c>
      <c r="AJ177" s="18" t="s">
        <v>337</v>
      </c>
      <c r="AK177" s="18" t="s">
        <v>157</v>
      </c>
      <c r="AL177" s="18" t="s">
        <v>314</v>
      </c>
      <c r="AM177" s="18"/>
      <c r="AN177" s="18"/>
      <c r="AO177" s="18" t="s">
        <v>484</v>
      </c>
      <c r="AP177" s="18" t="s">
        <v>419</v>
      </c>
      <c r="AQ177" s="18" t="s">
        <v>162</v>
      </c>
      <c r="AR177" s="18">
        <v>18</v>
      </c>
      <c r="AS177" s="18">
        <v>33</v>
      </c>
      <c r="AT177" s="18">
        <v>6</v>
      </c>
      <c r="AU177" s="18">
        <v>36</v>
      </c>
      <c r="AV177" s="18">
        <v>900</v>
      </c>
      <c r="AW177" s="18">
        <v>1500</v>
      </c>
      <c r="AX177" s="18">
        <v>600</v>
      </c>
      <c r="AY177" s="18">
        <v>1800</v>
      </c>
      <c r="AZ177" s="18">
        <v>5.5</v>
      </c>
      <c r="BA177" s="18">
        <v>6.1</v>
      </c>
      <c r="BB177" s="18">
        <v>4.5</v>
      </c>
      <c r="BC177" s="18">
        <v>7.4</v>
      </c>
      <c r="BD177" s="18">
        <v>35</v>
      </c>
      <c r="BE177" s="18">
        <v>10</v>
      </c>
      <c r="BF177" s="18">
        <v>50</v>
      </c>
      <c r="BG177" s="18">
        <v>60</v>
      </c>
      <c r="BH177" s="18">
        <v>2500</v>
      </c>
      <c r="BI177" s="18" t="s">
        <v>163</v>
      </c>
      <c r="BJ177" s="18" t="s">
        <v>163</v>
      </c>
      <c r="BK177" s="18" t="s">
        <v>163</v>
      </c>
      <c r="BL177" s="18" t="s">
        <v>164</v>
      </c>
      <c r="BM177" s="18" t="s">
        <v>288</v>
      </c>
      <c r="BN177" s="18" t="s">
        <v>166</v>
      </c>
      <c r="BO177" s="59" t="s">
        <v>168</v>
      </c>
      <c r="BP177" s="59" t="s">
        <v>203</v>
      </c>
      <c r="BQ177" s="59" t="s">
        <v>169</v>
      </c>
      <c r="BR177" s="59" t="s">
        <v>170</v>
      </c>
      <c r="BS177" s="59"/>
      <c r="BT177" s="59"/>
      <c r="BU177" s="59" t="s">
        <v>171</v>
      </c>
      <c r="BV177" s="59" t="s">
        <v>171</v>
      </c>
      <c r="BW177" s="59" t="s">
        <v>172</v>
      </c>
      <c r="BX177" s="59" t="s">
        <v>172</v>
      </c>
      <c r="BY177" s="59">
        <v>-10</v>
      </c>
      <c r="BZ177" s="59">
        <v>-2</v>
      </c>
      <c r="CA177" s="59" t="s">
        <v>173</v>
      </c>
      <c r="CB177" s="59" t="s">
        <v>420</v>
      </c>
      <c r="CC177" s="59"/>
      <c r="CD177" s="59"/>
      <c r="CE177" s="59"/>
      <c r="CF177" s="59" t="s">
        <v>206</v>
      </c>
      <c r="CG177" s="59">
        <v>180</v>
      </c>
      <c r="CH177" s="59">
        <v>210</v>
      </c>
      <c r="CI177" s="19">
        <v>3</v>
      </c>
      <c r="CJ177" s="19">
        <v>8</v>
      </c>
      <c r="CK177" s="19">
        <v>3</v>
      </c>
      <c r="CL177" s="19">
        <v>7</v>
      </c>
      <c r="CM177" s="17" t="s">
        <v>868</v>
      </c>
      <c r="CN177" s="20">
        <v>3</v>
      </c>
      <c r="CO177" s="20">
        <v>20</v>
      </c>
      <c r="CP177" s="17" t="s">
        <v>1210</v>
      </c>
      <c r="CQ177" s="17" t="s">
        <v>209</v>
      </c>
      <c r="CR177" s="21">
        <v>0</v>
      </c>
      <c r="CS177" s="21">
        <v>0</v>
      </c>
      <c r="CT177" s="21">
        <v>6</v>
      </c>
      <c r="CU177" s="21">
        <v>3</v>
      </c>
      <c r="CV177" s="21">
        <v>6</v>
      </c>
      <c r="CW177" s="21">
        <v>20</v>
      </c>
      <c r="CX177" s="21">
        <v>5</v>
      </c>
      <c r="CY177" s="21">
        <v>25</v>
      </c>
      <c r="CZ177" s="21">
        <v>8</v>
      </c>
      <c r="DA177" s="21">
        <v>0</v>
      </c>
      <c r="DB177" s="21">
        <v>0</v>
      </c>
      <c r="DC177" s="21">
        <v>60</v>
      </c>
      <c r="DD177" s="21">
        <v>20</v>
      </c>
      <c r="DE177" s="21">
        <v>40</v>
      </c>
      <c r="DF177" s="21">
        <v>150</v>
      </c>
      <c r="DG177" s="21">
        <v>30</v>
      </c>
      <c r="DH177" s="21">
        <v>400</v>
      </c>
      <c r="DI177" s="21">
        <v>80</v>
      </c>
      <c r="DJ177" s="17" t="s">
        <v>1161</v>
      </c>
      <c r="DK177" s="17" t="s">
        <v>409</v>
      </c>
      <c r="DL177" s="22">
        <v>150</v>
      </c>
      <c r="DM177" s="17" t="s">
        <v>1211</v>
      </c>
      <c r="DN177" s="25" t="s">
        <v>183</v>
      </c>
      <c r="DO177" s="25" t="s">
        <v>183</v>
      </c>
      <c r="DP177" s="24" t="s">
        <v>182</v>
      </c>
      <c r="DQ177" s="23"/>
      <c r="DR177" s="23"/>
      <c r="DS177" s="23"/>
      <c r="DT177" s="23"/>
      <c r="DU177" s="23"/>
      <c r="DV177" s="23"/>
      <c r="DW177" s="23"/>
      <c r="DX177" s="24" t="s">
        <v>182</v>
      </c>
      <c r="DY177" s="25" t="s">
        <v>183</v>
      </c>
      <c r="DZ177" s="17" t="s">
        <v>1212</v>
      </c>
      <c r="EA177" s="17" t="s">
        <v>1213</v>
      </c>
      <c r="EB177" s="52" t="s">
        <v>301</v>
      </c>
      <c r="EC177" s="17" t="s">
        <v>1214</v>
      </c>
      <c r="ED177" s="27" t="s">
        <v>658</v>
      </c>
      <c r="EE177" s="22">
        <v>5</v>
      </c>
      <c r="EF177" s="54" t="s">
        <v>392</v>
      </c>
    </row>
    <row r="178" spans="1:136" ht="15" customHeight="1" x14ac:dyDescent="0.25">
      <c r="A178" s="16" t="s">
        <v>1398</v>
      </c>
      <c r="B178" s="17" t="s">
        <v>409</v>
      </c>
      <c r="C178" s="17" t="s">
        <v>1399</v>
      </c>
      <c r="D178" s="18">
        <v>43</v>
      </c>
      <c r="E178" s="18">
        <v>1</v>
      </c>
      <c r="F178" s="18">
        <v>0.2</v>
      </c>
      <c r="G178" s="18">
        <v>8.1</v>
      </c>
      <c r="H178" s="18">
        <v>1.5</v>
      </c>
      <c r="I178" s="18">
        <v>26</v>
      </c>
      <c r="J178" s="18">
        <v>0.2</v>
      </c>
      <c r="K178" s="18">
        <v>9</v>
      </c>
      <c r="L178" s="18">
        <v>20</v>
      </c>
      <c r="M178" s="18">
        <v>150</v>
      </c>
      <c r="N178" s="18">
        <v>2</v>
      </c>
      <c r="O178" s="18">
        <v>0.1</v>
      </c>
      <c r="P178" s="18">
        <v>5.1999999999999998E-2</v>
      </c>
      <c r="Q178" s="18">
        <v>3.4000000000000002E-2</v>
      </c>
      <c r="R178" s="18">
        <v>0</v>
      </c>
      <c r="S178" s="18">
        <v>17</v>
      </c>
      <c r="T178" s="18">
        <v>0.36</v>
      </c>
      <c r="U178" s="18">
        <v>44</v>
      </c>
      <c r="V178" s="18">
        <v>7.0000000000000007E-2</v>
      </c>
      <c r="W178" s="18">
        <v>0.03</v>
      </c>
      <c r="X178" s="18">
        <v>0.3</v>
      </c>
      <c r="Y178" s="18">
        <v>0.04</v>
      </c>
      <c r="Z178" s="18">
        <v>0</v>
      </c>
      <c r="AA178" s="18">
        <v>24</v>
      </c>
      <c r="AB178" s="18">
        <v>718</v>
      </c>
      <c r="AC178" s="18" t="s">
        <v>1003</v>
      </c>
      <c r="AD178" s="18" t="s">
        <v>1004</v>
      </c>
      <c r="AE178" s="18" t="s">
        <v>715</v>
      </c>
      <c r="AF178" s="18" t="s">
        <v>1005</v>
      </c>
      <c r="AG178" s="18" t="s">
        <v>1006</v>
      </c>
      <c r="AH178" s="18" t="s">
        <v>1007</v>
      </c>
      <c r="AI178" s="18" t="s">
        <v>155</v>
      </c>
      <c r="AJ178" s="18" t="s">
        <v>337</v>
      </c>
      <c r="AK178" s="18" t="s">
        <v>157</v>
      </c>
      <c r="AL178" s="18" t="s">
        <v>314</v>
      </c>
      <c r="AM178" s="18"/>
      <c r="AN178" s="18" t="s">
        <v>338</v>
      </c>
      <c r="AO178" s="18" t="s">
        <v>419</v>
      </c>
      <c r="AP178" s="18" t="s">
        <v>419</v>
      </c>
      <c r="AQ178" s="18" t="s">
        <v>287</v>
      </c>
      <c r="AR178" s="18">
        <v>23</v>
      </c>
      <c r="AS178" s="18">
        <v>34</v>
      </c>
      <c r="AT178" s="18">
        <v>12</v>
      </c>
      <c r="AU178" s="18">
        <v>38</v>
      </c>
      <c r="AV178" s="18">
        <v>1200</v>
      </c>
      <c r="AW178" s="18">
        <v>1800</v>
      </c>
      <c r="AX178" s="18">
        <v>300</v>
      </c>
      <c r="AY178" s="18">
        <v>4000</v>
      </c>
      <c r="AZ178" s="18">
        <v>6</v>
      </c>
      <c r="BA178" s="18">
        <v>6.8</v>
      </c>
      <c r="BB178" s="18">
        <v>5.5</v>
      </c>
      <c r="BC178" s="18">
        <v>8.3000000000000007</v>
      </c>
      <c r="BD178" s="18"/>
      <c r="BE178" s="18"/>
      <c r="BF178" s="18">
        <v>35</v>
      </c>
      <c r="BG178" s="18">
        <v>45</v>
      </c>
      <c r="BH178" s="18">
        <v>2300</v>
      </c>
      <c r="BI178" s="18" t="s">
        <v>163</v>
      </c>
      <c r="BJ178" s="18" t="s">
        <v>163</v>
      </c>
      <c r="BK178" s="18" t="s">
        <v>163</v>
      </c>
      <c r="BL178" s="18" t="s">
        <v>164</v>
      </c>
      <c r="BM178" s="18" t="s">
        <v>288</v>
      </c>
      <c r="BN178" s="18" t="s">
        <v>166</v>
      </c>
      <c r="BO178" s="59" t="s">
        <v>250</v>
      </c>
      <c r="BP178" s="59" t="s">
        <v>203</v>
      </c>
      <c r="BQ178" s="59" t="s">
        <v>169</v>
      </c>
      <c r="BR178" s="59" t="s">
        <v>170</v>
      </c>
      <c r="BS178" s="59"/>
      <c r="BT178" s="59"/>
      <c r="BU178" s="59" t="s">
        <v>171</v>
      </c>
      <c r="BV178" s="59" t="s">
        <v>171</v>
      </c>
      <c r="BW178" s="59" t="s">
        <v>172</v>
      </c>
      <c r="BX178" s="59" t="s">
        <v>882</v>
      </c>
      <c r="BY178" s="59"/>
      <c r="BZ178" s="59"/>
      <c r="CA178" s="59" t="s">
        <v>508</v>
      </c>
      <c r="CB178" s="59" t="s">
        <v>934</v>
      </c>
      <c r="CC178" s="59"/>
      <c r="CD178" s="59"/>
      <c r="CE178" s="59"/>
      <c r="CF178" s="59" t="s">
        <v>206</v>
      </c>
      <c r="CG178" s="59">
        <v>60</v>
      </c>
      <c r="CH178" s="59">
        <v>365</v>
      </c>
      <c r="CI178" s="19">
        <v>3</v>
      </c>
      <c r="CJ178" s="19">
        <v>7</v>
      </c>
      <c r="CK178" s="19">
        <v>3</v>
      </c>
      <c r="CL178" s="19">
        <v>6</v>
      </c>
      <c r="CM178" s="17" t="s">
        <v>624</v>
      </c>
      <c r="CN178" s="20">
        <v>8</v>
      </c>
      <c r="CO178" s="20">
        <v>40</v>
      </c>
      <c r="CP178" s="17" t="s">
        <v>1400</v>
      </c>
      <c r="CQ178" s="17" t="s">
        <v>209</v>
      </c>
      <c r="CR178" s="21">
        <v>0</v>
      </c>
      <c r="CS178" s="21">
        <v>0</v>
      </c>
      <c r="CT178" s="21">
        <v>8</v>
      </c>
      <c r="CU178" s="21">
        <v>4</v>
      </c>
      <c r="CV178" s="21">
        <v>8</v>
      </c>
      <c r="CW178" s="21">
        <v>10</v>
      </c>
      <c r="CX178" s="21">
        <v>6</v>
      </c>
      <c r="CY178" s="21">
        <v>25</v>
      </c>
      <c r="CZ178" s="21">
        <v>8</v>
      </c>
      <c r="DA178" s="21">
        <v>0</v>
      </c>
      <c r="DB178" s="21">
        <v>0</v>
      </c>
      <c r="DC178" s="21">
        <v>60</v>
      </c>
      <c r="DD178" s="21">
        <v>25</v>
      </c>
      <c r="DE178" s="21">
        <v>50</v>
      </c>
      <c r="DF178" s="21">
        <v>80</v>
      </c>
      <c r="DG178" s="21">
        <v>40</v>
      </c>
      <c r="DH178" s="21">
        <v>400</v>
      </c>
      <c r="DI178" s="21">
        <v>80</v>
      </c>
      <c r="DJ178" s="17" t="s">
        <v>947</v>
      </c>
      <c r="DK178" s="17" t="s">
        <v>409</v>
      </c>
      <c r="DL178" s="22">
        <v>150</v>
      </c>
      <c r="DM178" s="17" t="s">
        <v>1401</v>
      </c>
      <c r="DN178" s="23"/>
      <c r="DO178" s="23"/>
      <c r="DP178" s="23"/>
      <c r="DQ178" s="23"/>
      <c r="DR178" s="24" t="s">
        <v>182</v>
      </c>
      <c r="DS178" s="25" t="s">
        <v>183</v>
      </c>
      <c r="DT178" s="25" t="s">
        <v>183</v>
      </c>
      <c r="DU178" s="25" t="s">
        <v>183</v>
      </c>
      <c r="DV178" s="24" t="s">
        <v>182</v>
      </c>
      <c r="DW178" s="23"/>
      <c r="DX178" s="23"/>
      <c r="DY178" s="23"/>
      <c r="DZ178" s="17" t="s">
        <v>1402</v>
      </c>
      <c r="EA178" s="17" t="s">
        <v>1403</v>
      </c>
      <c r="EB178" s="26" t="s">
        <v>186</v>
      </c>
      <c r="EC178" s="17" t="s">
        <v>874</v>
      </c>
      <c r="ED178" s="27" t="s">
        <v>353</v>
      </c>
      <c r="EE178" s="22">
        <v>2</v>
      </c>
      <c r="EF178" s="28" t="s">
        <v>757</v>
      </c>
    </row>
    <row r="179" spans="1:136" ht="15" customHeight="1" x14ac:dyDescent="0.25">
      <c r="A179" s="16" t="s">
        <v>926</v>
      </c>
      <c r="B179" s="17" t="s">
        <v>409</v>
      </c>
      <c r="C179" s="17" t="s">
        <v>927</v>
      </c>
      <c r="D179" s="18">
        <v>26.5</v>
      </c>
      <c r="E179" s="18">
        <v>0.6</v>
      </c>
      <c r="F179" s="18">
        <v>0.1</v>
      </c>
      <c r="G179" s="18">
        <v>1.8</v>
      </c>
      <c r="H179" s="18">
        <v>2</v>
      </c>
      <c r="I179" s="18">
        <v>20</v>
      </c>
      <c r="J179" s="18">
        <v>0.15</v>
      </c>
      <c r="K179" s="18">
        <v>9</v>
      </c>
      <c r="L179" s="18">
        <v>20</v>
      </c>
      <c r="M179" s="18">
        <v>140</v>
      </c>
      <c r="N179" s="18">
        <v>3</v>
      </c>
      <c r="O179" s="18">
        <v>0.1</v>
      </c>
      <c r="P179" s="18">
        <v>8.5999999999999993E-2</v>
      </c>
      <c r="Q179" s="18">
        <v>3.6999999999999998E-2</v>
      </c>
      <c r="R179" s="18">
        <v>0</v>
      </c>
      <c r="S179" s="18">
        <v>1</v>
      </c>
      <c r="T179" s="18">
        <v>0.4</v>
      </c>
      <c r="U179" s="18">
        <v>37</v>
      </c>
      <c r="V179" s="18">
        <v>0.03</v>
      </c>
      <c r="W179" s="18">
        <v>0.01</v>
      </c>
      <c r="X179" s="18">
        <v>0.1</v>
      </c>
      <c r="Y179" s="18">
        <v>0.04</v>
      </c>
      <c r="Z179" s="18">
        <v>0</v>
      </c>
      <c r="AA179" s="18">
        <v>47</v>
      </c>
      <c r="AB179" s="18">
        <v>714</v>
      </c>
      <c r="AC179" s="18" t="s">
        <v>928</v>
      </c>
      <c r="AD179" s="18" t="s">
        <v>929</v>
      </c>
      <c r="AE179" s="18" t="s">
        <v>715</v>
      </c>
      <c r="AF179" s="18" t="s">
        <v>930</v>
      </c>
      <c r="AG179" s="18" t="s">
        <v>931</v>
      </c>
      <c r="AH179" s="18" t="s">
        <v>932</v>
      </c>
      <c r="AI179" s="18" t="s">
        <v>155</v>
      </c>
      <c r="AJ179" s="18" t="s">
        <v>337</v>
      </c>
      <c r="AK179" s="18" t="s">
        <v>157</v>
      </c>
      <c r="AL179" s="18" t="s">
        <v>314</v>
      </c>
      <c r="AM179" s="18"/>
      <c r="AN179" s="18" t="s">
        <v>338</v>
      </c>
      <c r="AO179" s="18" t="s">
        <v>933</v>
      </c>
      <c r="AP179" s="18" t="s">
        <v>419</v>
      </c>
      <c r="AQ179" s="18" t="s">
        <v>162</v>
      </c>
      <c r="AR179" s="18">
        <v>15</v>
      </c>
      <c r="AS179" s="18">
        <v>28</v>
      </c>
      <c r="AT179" s="18">
        <v>12</v>
      </c>
      <c r="AU179" s="18">
        <v>36</v>
      </c>
      <c r="AV179" s="18">
        <v>1000</v>
      </c>
      <c r="AW179" s="18">
        <v>2300</v>
      </c>
      <c r="AX179" s="18">
        <v>300</v>
      </c>
      <c r="AY179" s="18">
        <v>4000</v>
      </c>
      <c r="AZ179" s="18">
        <v>6.5</v>
      </c>
      <c r="BA179" s="18">
        <v>7</v>
      </c>
      <c r="BB179" s="18">
        <v>5.5</v>
      </c>
      <c r="BC179" s="18">
        <v>8</v>
      </c>
      <c r="BD179" s="18"/>
      <c r="BE179" s="18"/>
      <c r="BF179" s="18"/>
      <c r="BG179" s="18"/>
      <c r="BH179" s="18">
        <v>500</v>
      </c>
      <c r="BI179" s="18" t="s">
        <v>163</v>
      </c>
      <c r="BJ179" s="18" t="s">
        <v>163</v>
      </c>
      <c r="BK179" s="18" t="s">
        <v>163</v>
      </c>
      <c r="BL179" s="18" t="s">
        <v>164</v>
      </c>
      <c r="BM179" s="18" t="s">
        <v>166</v>
      </c>
      <c r="BN179" s="18" t="s">
        <v>166</v>
      </c>
      <c r="BO179" s="59" t="s">
        <v>250</v>
      </c>
      <c r="BP179" s="59" t="s">
        <v>203</v>
      </c>
      <c r="BQ179" s="59" t="s">
        <v>169</v>
      </c>
      <c r="BR179" s="59" t="s">
        <v>170</v>
      </c>
      <c r="BS179" s="59"/>
      <c r="BT179" s="59"/>
      <c r="BU179" s="59" t="s">
        <v>171</v>
      </c>
      <c r="BV179" s="59" t="s">
        <v>171</v>
      </c>
      <c r="BW179" s="59" t="s">
        <v>172</v>
      </c>
      <c r="BX179" s="59" t="s">
        <v>172</v>
      </c>
      <c r="BY179" s="59">
        <v>-6</v>
      </c>
      <c r="BZ179" s="59">
        <v>-2</v>
      </c>
      <c r="CA179" s="59" t="s">
        <v>508</v>
      </c>
      <c r="CB179" s="59" t="s">
        <v>934</v>
      </c>
      <c r="CC179" s="59"/>
      <c r="CD179" s="59" t="s">
        <v>252</v>
      </c>
      <c r="CE179" s="59"/>
      <c r="CF179" s="59" t="s">
        <v>206</v>
      </c>
      <c r="CG179" s="59">
        <v>210</v>
      </c>
      <c r="CH179" s="59">
        <v>365</v>
      </c>
      <c r="CI179" s="19">
        <v>3</v>
      </c>
      <c r="CJ179" s="19">
        <v>6</v>
      </c>
      <c r="CK179" s="19">
        <v>3</v>
      </c>
      <c r="CL179" s="19">
        <v>6</v>
      </c>
      <c r="CM179" s="17" t="s">
        <v>624</v>
      </c>
      <c r="CN179" s="20">
        <v>8</v>
      </c>
      <c r="CO179" s="20">
        <v>40</v>
      </c>
      <c r="CP179" s="17" t="s">
        <v>935</v>
      </c>
      <c r="CQ179" s="17" t="s">
        <v>209</v>
      </c>
      <c r="CR179" s="21">
        <v>0</v>
      </c>
      <c r="CS179" s="21">
        <v>0</v>
      </c>
      <c r="CT179" s="21">
        <v>8</v>
      </c>
      <c r="CU179" s="21">
        <v>4</v>
      </c>
      <c r="CV179" s="21">
        <v>8</v>
      </c>
      <c r="CW179" s="21">
        <v>10</v>
      </c>
      <c r="CX179" s="21">
        <v>6</v>
      </c>
      <c r="CY179" s="21">
        <v>25</v>
      </c>
      <c r="CZ179" s="21">
        <v>8</v>
      </c>
      <c r="DA179" s="21">
        <v>0</v>
      </c>
      <c r="DB179" s="21">
        <v>0</v>
      </c>
      <c r="DC179" s="21">
        <v>60</v>
      </c>
      <c r="DD179" s="21">
        <v>25</v>
      </c>
      <c r="DE179" s="21">
        <v>50</v>
      </c>
      <c r="DF179" s="21">
        <v>80</v>
      </c>
      <c r="DG179" s="21">
        <v>40</v>
      </c>
      <c r="DH179" s="21">
        <v>400</v>
      </c>
      <c r="DI179" s="21">
        <v>80</v>
      </c>
      <c r="DJ179" s="17" t="s">
        <v>870</v>
      </c>
      <c r="DK179" s="17" t="s">
        <v>409</v>
      </c>
      <c r="DL179" s="22">
        <v>150</v>
      </c>
      <c r="DM179" s="17" t="s">
        <v>936</v>
      </c>
      <c r="DN179" s="23"/>
      <c r="DO179" s="23"/>
      <c r="DP179" s="23"/>
      <c r="DQ179" s="23"/>
      <c r="DR179" s="24" t="s">
        <v>182</v>
      </c>
      <c r="DS179" s="25" t="s">
        <v>183</v>
      </c>
      <c r="DT179" s="25" t="s">
        <v>183</v>
      </c>
      <c r="DU179" s="25" t="s">
        <v>183</v>
      </c>
      <c r="DV179" s="24" t="s">
        <v>182</v>
      </c>
      <c r="DW179" s="24" t="s">
        <v>182</v>
      </c>
      <c r="DX179" s="23"/>
      <c r="DY179" s="23"/>
      <c r="DZ179" s="17" t="s">
        <v>2641</v>
      </c>
      <c r="EA179" s="17" t="s">
        <v>937</v>
      </c>
      <c r="EB179" s="26" t="s">
        <v>186</v>
      </c>
      <c r="EC179" s="17" t="s">
        <v>938</v>
      </c>
      <c r="ED179" s="27" t="s">
        <v>352</v>
      </c>
      <c r="EE179" s="22">
        <v>3</v>
      </c>
      <c r="EF179" s="28" t="s">
        <v>757</v>
      </c>
    </row>
    <row r="180" spans="1:136" ht="15" customHeight="1" x14ac:dyDescent="0.25">
      <c r="A180" s="16" t="s">
        <v>1083</v>
      </c>
      <c r="B180" s="29" t="s">
        <v>409</v>
      </c>
      <c r="C180" s="29" t="s">
        <v>1084</v>
      </c>
      <c r="D180" s="30">
        <v>32.700000000000003</v>
      </c>
      <c r="E180" s="30">
        <v>0.1</v>
      </c>
      <c r="F180" s="30">
        <v>2.7</v>
      </c>
      <c r="G180" s="30">
        <v>0.4</v>
      </c>
      <c r="H180" s="30">
        <v>3.6</v>
      </c>
      <c r="I180" s="30">
        <v>32</v>
      </c>
      <c r="J180" s="30">
        <v>0</v>
      </c>
      <c r="K180" s="30">
        <v>10</v>
      </c>
      <c r="L180" s="30">
        <v>8</v>
      </c>
      <c r="M180" s="30">
        <v>83</v>
      </c>
      <c r="N180" s="30">
        <v>4</v>
      </c>
      <c r="O180" s="30">
        <v>0</v>
      </c>
      <c r="P180" s="30">
        <v>0</v>
      </c>
      <c r="Q180" s="30">
        <v>0</v>
      </c>
      <c r="R180" s="30">
        <v>0</v>
      </c>
      <c r="S180" s="30">
        <v>5</v>
      </c>
      <c r="T180" s="30">
        <v>0.22</v>
      </c>
      <c r="U180" s="30">
        <v>347</v>
      </c>
      <c r="V180" s="30">
        <v>0</v>
      </c>
      <c r="W180" s="30">
        <v>0</v>
      </c>
      <c r="X180" s="30">
        <v>0.2</v>
      </c>
      <c r="Y180" s="30">
        <v>0.04</v>
      </c>
      <c r="Z180" s="30">
        <v>0</v>
      </c>
      <c r="AA180" s="30">
        <v>102</v>
      </c>
      <c r="AB180" s="31"/>
      <c r="AC180" s="5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60"/>
      <c r="BP180" s="60"/>
      <c r="BQ180" s="60"/>
      <c r="BR180" s="60"/>
      <c r="BS180" s="60"/>
      <c r="BT180" s="60"/>
      <c r="BU180" s="60"/>
      <c r="BV180" s="60"/>
      <c r="BW180" s="60"/>
      <c r="BX180" s="60"/>
      <c r="BY180" s="60"/>
      <c r="BZ180" s="60"/>
      <c r="CA180" s="60"/>
      <c r="CB180" s="60"/>
      <c r="CC180" s="60"/>
      <c r="CD180" s="60"/>
      <c r="CE180" s="60"/>
      <c r="CF180" s="60"/>
      <c r="CG180" s="60"/>
      <c r="CH180" s="60"/>
      <c r="CI180" s="19">
        <v>2</v>
      </c>
      <c r="CJ180" s="19">
        <v>8</v>
      </c>
      <c r="CK180" s="19">
        <v>1.5</v>
      </c>
      <c r="CL180" s="19">
        <v>4</v>
      </c>
      <c r="CM180" s="17" t="s">
        <v>806</v>
      </c>
      <c r="CN180" s="20">
        <v>1</v>
      </c>
      <c r="CO180" s="20">
        <v>8</v>
      </c>
      <c r="CP180" s="17" t="s">
        <v>1085</v>
      </c>
      <c r="CQ180" s="17" t="s">
        <v>762</v>
      </c>
      <c r="CR180" s="21">
        <v>0</v>
      </c>
      <c r="CS180" s="21">
        <v>0</v>
      </c>
      <c r="CT180" s="21">
        <v>5</v>
      </c>
      <c r="CU180" s="21">
        <v>3</v>
      </c>
      <c r="CV180" s="21">
        <v>4</v>
      </c>
      <c r="CW180" s="21">
        <v>8</v>
      </c>
      <c r="CX180" s="21">
        <v>4</v>
      </c>
      <c r="CY180" s="21">
        <v>30</v>
      </c>
      <c r="CZ180" s="21">
        <v>20</v>
      </c>
      <c r="DA180" s="21">
        <v>0</v>
      </c>
      <c r="DB180" s="21">
        <v>0</v>
      </c>
      <c r="DC180" s="21">
        <v>40</v>
      </c>
      <c r="DD180" s="21">
        <v>20</v>
      </c>
      <c r="DE180" s="21">
        <v>30</v>
      </c>
      <c r="DF180" s="21">
        <v>60</v>
      </c>
      <c r="DG180" s="21">
        <v>25</v>
      </c>
      <c r="DH180" s="21">
        <v>500</v>
      </c>
      <c r="DI180" s="21">
        <v>300</v>
      </c>
      <c r="DJ180" s="17" t="s">
        <v>1086</v>
      </c>
      <c r="DK180" s="17" t="s">
        <v>409</v>
      </c>
      <c r="DL180" s="22">
        <v>150</v>
      </c>
      <c r="DM180" s="17" t="s">
        <v>1087</v>
      </c>
      <c r="DN180" s="23"/>
      <c r="DO180" s="23"/>
      <c r="DP180" s="23"/>
      <c r="DQ180" s="24" t="s">
        <v>182</v>
      </c>
      <c r="DR180" s="25" t="s">
        <v>183</v>
      </c>
      <c r="DS180" s="25" t="s">
        <v>183</v>
      </c>
      <c r="DT180" s="25" t="s">
        <v>183</v>
      </c>
      <c r="DU180" s="24" t="s">
        <v>182</v>
      </c>
      <c r="DV180" s="23"/>
      <c r="DW180" s="23"/>
      <c r="DX180" s="23"/>
      <c r="DY180" s="23"/>
      <c r="DZ180" s="17" t="s">
        <v>1088</v>
      </c>
      <c r="EA180" s="17" t="s">
        <v>766</v>
      </c>
      <c r="EB180" s="43" t="s">
        <v>214</v>
      </c>
      <c r="EC180" s="17" t="s">
        <v>1089</v>
      </c>
      <c r="ED180" s="27" t="s">
        <v>216</v>
      </c>
      <c r="EE180" s="22">
        <v>2</v>
      </c>
      <c r="EF180" s="54" t="s">
        <v>217</v>
      </c>
    </row>
    <row r="181" spans="1:136" ht="15" customHeight="1" x14ac:dyDescent="0.25">
      <c r="A181" s="16" t="s">
        <v>1228</v>
      </c>
      <c r="B181" s="17" t="s">
        <v>409</v>
      </c>
      <c r="C181" s="17" t="s">
        <v>1229</v>
      </c>
      <c r="D181" s="18">
        <v>38</v>
      </c>
      <c r="E181" s="18">
        <v>0.76</v>
      </c>
      <c r="F181" s="18">
        <v>9.6199999999999992</v>
      </c>
      <c r="G181" s="18">
        <v>1</v>
      </c>
      <c r="H181" s="18">
        <v>0.04</v>
      </c>
      <c r="I181" s="18">
        <v>4</v>
      </c>
      <c r="J181" s="18">
        <v>0.11</v>
      </c>
      <c r="K181" s="18">
        <v>6</v>
      </c>
      <c r="L181" s="18">
        <v>17</v>
      </c>
      <c r="M181" s="18">
        <v>216</v>
      </c>
      <c r="N181" s="18">
        <v>1</v>
      </c>
      <c r="O181" s="18">
        <v>0.08</v>
      </c>
      <c r="P181" s="18">
        <v>4.8000000000000001E-2</v>
      </c>
      <c r="Q181" s="18">
        <v>1.7000000000000001E-2</v>
      </c>
      <c r="R181" s="18">
        <v>0</v>
      </c>
      <c r="S181" s="18">
        <v>8</v>
      </c>
      <c r="T181" s="18">
        <v>0</v>
      </c>
      <c r="U181" s="18">
        <v>61</v>
      </c>
      <c r="V181" s="18">
        <v>3.4000000000000002E-2</v>
      </c>
      <c r="W181" s="18">
        <v>2.7E-2</v>
      </c>
      <c r="X181" s="18">
        <v>0.22</v>
      </c>
      <c r="Y181" s="18">
        <v>3.5999999999999997E-2</v>
      </c>
      <c r="Z181" s="18">
        <v>0</v>
      </c>
      <c r="AA181" s="18">
        <v>0</v>
      </c>
      <c r="AB181" s="18">
        <v>712</v>
      </c>
      <c r="AC181" s="18" t="s">
        <v>1230</v>
      </c>
      <c r="AD181" s="18" t="s">
        <v>1101</v>
      </c>
      <c r="AE181" s="18" t="s">
        <v>715</v>
      </c>
      <c r="AF181" s="18" t="s">
        <v>1231</v>
      </c>
      <c r="AG181" s="18" t="s">
        <v>1232</v>
      </c>
      <c r="AH181" s="18" t="s">
        <v>1233</v>
      </c>
      <c r="AI181" s="18" t="s">
        <v>226</v>
      </c>
      <c r="AJ181" s="18" t="s">
        <v>337</v>
      </c>
      <c r="AK181" s="18" t="s">
        <v>157</v>
      </c>
      <c r="AL181" s="18" t="s">
        <v>314</v>
      </c>
      <c r="AM181" s="18">
        <v>0</v>
      </c>
      <c r="AN181" s="18" t="s">
        <v>338</v>
      </c>
      <c r="AO181" s="18" t="s">
        <v>419</v>
      </c>
      <c r="AP181" s="18" t="s">
        <v>419</v>
      </c>
      <c r="AQ181" s="18" t="s">
        <v>362</v>
      </c>
      <c r="AR181" s="18">
        <v>23</v>
      </c>
      <c r="AS181" s="18">
        <v>32</v>
      </c>
      <c r="AT181" s="18">
        <v>12</v>
      </c>
      <c r="AU181" s="18">
        <v>40</v>
      </c>
      <c r="AV181" s="18">
        <v>1500</v>
      </c>
      <c r="AW181" s="18">
        <v>2500</v>
      </c>
      <c r="AX181" s="18">
        <v>700</v>
      </c>
      <c r="AY181" s="18">
        <v>4000</v>
      </c>
      <c r="AZ181" s="18">
        <v>5.5</v>
      </c>
      <c r="BA181" s="18">
        <v>7</v>
      </c>
      <c r="BB181" s="18">
        <v>4.5</v>
      </c>
      <c r="BC181" s="18">
        <v>8</v>
      </c>
      <c r="BD181" s="18">
        <v>10</v>
      </c>
      <c r="BE181" s="18">
        <v>0</v>
      </c>
      <c r="BF181" s="18">
        <v>30</v>
      </c>
      <c r="BG181" s="18">
        <v>40</v>
      </c>
      <c r="BH181" s="18">
        <v>1500</v>
      </c>
      <c r="BI181" s="18" t="s">
        <v>164</v>
      </c>
      <c r="BJ181" s="18" t="s">
        <v>163</v>
      </c>
      <c r="BK181" s="18" t="s">
        <v>165</v>
      </c>
      <c r="BL181" s="18" t="s">
        <v>163</v>
      </c>
      <c r="BM181" s="18" t="s">
        <v>288</v>
      </c>
      <c r="BN181" s="18" t="s">
        <v>166</v>
      </c>
      <c r="BO181" t="s">
        <v>167</v>
      </c>
      <c r="BP181" t="s">
        <v>229</v>
      </c>
      <c r="BQ181" t="s">
        <v>169</v>
      </c>
      <c r="BR181" t="s">
        <v>170</v>
      </c>
      <c r="BS181">
        <v>0</v>
      </c>
      <c r="BT181">
        <v>0</v>
      </c>
      <c r="BU181" t="s">
        <v>171</v>
      </c>
      <c r="BV181" t="s">
        <v>231</v>
      </c>
      <c r="BW181" t="s">
        <v>172</v>
      </c>
      <c r="BX181" t="s">
        <v>882</v>
      </c>
      <c r="BY181">
        <v>0</v>
      </c>
      <c r="BZ181">
        <v>0</v>
      </c>
      <c r="CA181" t="s">
        <v>1234</v>
      </c>
      <c r="CB181" t="s">
        <v>1235</v>
      </c>
      <c r="CC181">
        <v>0</v>
      </c>
      <c r="CD181" t="s">
        <v>964</v>
      </c>
      <c r="CE181">
        <v>0</v>
      </c>
      <c r="CF181" t="s">
        <v>672</v>
      </c>
      <c r="CG181">
        <v>0</v>
      </c>
      <c r="CH181">
        <v>0</v>
      </c>
      <c r="CI181" s="19">
        <v>5</v>
      </c>
      <c r="CJ181" s="19">
        <v>15</v>
      </c>
      <c r="CK181" s="19">
        <v>5</v>
      </c>
      <c r="CL181" s="19">
        <v>10</v>
      </c>
      <c r="CM181" s="17" t="s">
        <v>1236</v>
      </c>
      <c r="CN181" s="20">
        <v>8</v>
      </c>
      <c r="CO181" s="20">
        <v>30</v>
      </c>
      <c r="CP181" s="17" t="s">
        <v>1237</v>
      </c>
      <c r="CQ181" s="17" t="s">
        <v>209</v>
      </c>
      <c r="CR181" s="21">
        <v>0</v>
      </c>
      <c r="CS181" s="21">
        <v>0</v>
      </c>
      <c r="CT181" s="21">
        <v>8</v>
      </c>
      <c r="CU181" s="21">
        <v>4</v>
      </c>
      <c r="CV181" s="21">
        <v>8</v>
      </c>
      <c r="CW181" s="21">
        <v>10</v>
      </c>
      <c r="CX181" s="21">
        <v>6</v>
      </c>
      <c r="CY181" s="21">
        <v>20</v>
      </c>
      <c r="CZ181" s="21">
        <v>8</v>
      </c>
      <c r="DA181" s="21">
        <v>0</v>
      </c>
      <c r="DB181" s="21">
        <v>0</v>
      </c>
      <c r="DC181" s="21">
        <v>60</v>
      </c>
      <c r="DD181" s="21">
        <v>25</v>
      </c>
      <c r="DE181" s="21">
        <v>50</v>
      </c>
      <c r="DF181" s="21">
        <v>80</v>
      </c>
      <c r="DG181" s="21">
        <v>40</v>
      </c>
      <c r="DH181" s="21">
        <v>350</v>
      </c>
      <c r="DI181" s="21">
        <v>80</v>
      </c>
      <c r="DJ181" s="17" t="s">
        <v>1238</v>
      </c>
      <c r="DK181" s="17" t="s">
        <v>409</v>
      </c>
      <c r="DL181" s="22">
        <v>150</v>
      </c>
      <c r="DM181" s="17" t="s">
        <v>1239</v>
      </c>
      <c r="DN181" s="23"/>
      <c r="DO181" s="23"/>
      <c r="DP181" s="23"/>
      <c r="DQ181" s="23"/>
      <c r="DR181" s="23"/>
      <c r="DS181" s="24" t="s">
        <v>182</v>
      </c>
      <c r="DT181" s="25" t="s">
        <v>183</v>
      </c>
      <c r="DU181" s="25" t="s">
        <v>183</v>
      </c>
      <c r="DV181" s="25" t="s">
        <v>183</v>
      </c>
      <c r="DW181" s="24" t="s">
        <v>182</v>
      </c>
      <c r="DX181" s="23"/>
      <c r="DY181" s="23"/>
      <c r="DZ181" s="17" t="s">
        <v>1240</v>
      </c>
      <c r="EA181" s="17" t="s">
        <v>1241</v>
      </c>
      <c r="EB181" s="26" t="s">
        <v>186</v>
      </c>
      <c r="EC181" s="17" t="s">
        <v>1242</v>
      </c>
      <c r="ED181" s="27" t="s">
        <v>327</v>
      </c>
      <c r="EE181" s="22">
        <v>2</v>
      </c>
      <c r="EF181" s="49" t="s">
        <v>327</v>
      </c>
    </row>
    <row r="182" spans="1:136" ht="15" customHeight="1" x14ac:dyDescent="0.25">
      <c r="A182" s="16" t="s">
        <v>1447</v>
      </c>
      <c r="B182" s="29" t="s">
        <v>409</v>
      </c>
      <c r="C182" s="29" t="s">
        <v>1448</v>
      </c>
      <c r="D182" s="30">
        <v>26.1</v>
      </c>
      <c r="E182" s="30">
        <v>0.7</v>
      </c>
      <c r="F182" s="30">
        <v>0.2</v>
      </c>
      <c r="G182" s="30">
        <v>4.5</v>
      </c>
      <c r="H182" s="30">
        <v>1.9</v>
      </c>
      <c r="I182" s="30">
        <v>13</v>
      </c>
      <c r="J182" s="30">
        <v>0.8</v>
      </c>
      <c r="K182" s="30">
        <v>5</v>
      </c>
      <c r="L182" s="30">
        <v>10</v>
      </c>
      <c r="M182" s="30">
        <v>38</v>
      </c>
      <c r="N182" s="30">
        <v>1</v>
      </c>
      <c r="O182" s="30">
        <v>0.1</v>
      </c>
      <c r="P182" s="30"/>
      <c r="Q182" s="30"/>
      <c r="R182" s="30">
        <v>0</v>
      </c>
      <c r="S182" s="30">
        <v>0</v>
      </c>
      <c r="T182" s="30">
        <v>0</v>
      </c>
      <c r="U182" s="30">
        <v>8</v>
      </c>
      <c r="V182" s="30">
        <v>0.02</v>
      </c>
      <c r="W182" s="30">
        <v>0.04</v>
      </c>
      <c r="X182" s="30">
        <v>0.5</v>
      </c>
      <c r="Y182" s="30">
        <v>0.03</v>
      </c>
      <c r="Z182" s="30">
        <v>0</v>
      </c>
      <c r="AA182" s="30">
        <v>34</v>
      </c>
      <c r="AB182" s="31">
        <v>14060</v>
      </c>
      <c r="AC182" s="31" t="s">
        <v>1449</v>
      </c>
      <c r="AD182" s="31"/>
      <c r="AE182" s="31" t="s">
        <v>878</v>
      </c>
      <c r="AF182" s="31"/>
      <c r="AG182" s="31" t="s">
        <v>1450</v>
      </c>
      <c r="AH182" s="31" t="s">
        <v>1450</v>
      </c>
      <c r="AI182" s="31" t="s">
        <v>155</v>
      </c>
      <c r="AJ182" s="31" t="s">
        <v>337</v>
      </c>
      <c r="AK182" s="31" t="s">
        <v>157</v>
      </c>
      <c r="AL182" s="31" t="s">
        <v>314</v>
      </c>
      <c r="AM182" s="31"/>
      <c r="AN182" s="31" t="s">
        <v>338</v>
      </c>
      <c r="AO182" s="31" t="s">
        <v>994</v>
      </c>
      <c r="AP182" s="31" t="s">
        <v>419</v>
      </c>
      <c r="AQ182" s="31" t="s">
        <v>362</v>
      </c>
      <c r="AR182" s="31">
        <v>18</v>
      </c>
      <c r="AS182" s="31">
        <v>38</v>
      </c>
      <c r="AT182" s="31">
        <v>5</v>
      </c>
      <c r="AU182" s="31">
        <v>40</v>
      </c>
      <c r="AV182" s="31">
        <v>1200</v>
      </c>
      <c r="AW182" s="31">
        <v>1600</v>
      </c>
      <c r="AX182" s="31">
        <v>700</v>
      </c>
      <c r="AY182" s="31">
        <v>4000</v>
      </c>
      <c r="AZ182" s="31">
        <v>5.5</v>
      </c>
      <c r="BA182" s="31">
        <v>7</v>
      </c>
      <c r="BB182" s="31">
        <v>5</v>
      </c>
      <c r="BC182" s="31">
        <v>8</v>
      </c>
      <c r="BD182" s="31"/>
      <c r="BE182" s="31"/>
      <c r="BF182" s="31">
        <v>25</v>
      </c>
      <c r="BG182" s="31">
        <v>25</v>
      </c>
      <c r="BH182" s="31">
        <v>1200</v>
      </c>
      <c r="BI182" s="31" t="s">
        <v>163</v>
      </c>
      <c r="BJ182" s="31" t="s">
        <v>165</v>
      </c>
      <c r="BK182" s="31" t="s">
        <v>163</v>
      </c>
      <c r="BL182" s="31" t="s">
        <v>317</v>
      </c>
      <c r="BM182" s="31" t="s">
        <v>288</v>
      </c>
      <c r="BN182" s="31" t="s">
        <v>201</v>
      </c>
      <c r="BO182" s="60" t="s">
        <v>167</v>
      </c>
      <c r="BP182" s="60" t="s">
        <v>203</v>
      </c>
      <c r="BQ182" s="60" t="s">
        <v>170</v>
      </c>
      <c r="BR182" s="60" t="s">
        <v>230</v>
      </c>
      <c r="BS182" s="60"/>
      <c r="BT182" s="60"/>
      <c r="BU182" s="60" t="s">
        <v>171</v>
      </c>
      <c r="BV182" s="60" t="s">
        <v>231</v>
      </c>
      <c r="BW182" s="60" t="s">
        <v>172</v>
      </c>
      <c r="BX182" s="60" t="s">
        <v>318</v>
      </c>
      <c r="BY182" s="60"/>
      <c r="BZ182" s="60"/>
      <c r="CA182" s="60" t="s">
        <v>173</v>
      </c>
      <c r="CB182" s="60" t="s">
        <v>583</v>
      </c>
      <c r="CC182" s="60" t="s">
        <v>964</v>
      </c>
      <c r="CD182" s="60"/>
      <c r="CE182" s="60"/>
      <c r="CF182" s="60" t="s">
        <v>672</v>
      </c>
      <c r="CG182" s="60">
        <v>210</v>
      </c>
      <c r="CH182" s="60">
        <v>365</v>
      </c>
      <c r="CI182" s="19">
        <v>4</v>
      </c>
      <c r="CJ182" s="19">
        <v>10</v>
      </c>
      <c r="CK182" s="19">
        <v>4</v>
      </c>
      <c r="CL182" s="19">
        <v>8</v>
      </c>
      <c r="CM182" s="17" t="s">
        <v>868</v>
      </c>
      <c r="CN182" s="20">
        <v>10</v>
      </c>
      <c r="CO182" s="20">
        <v>30</v>
      </c>
      <c r="CP182" s="17" t="s">
        <v>1451</v>
      </c>
      <c r="CQ182" s="17" t="s">
        <v>296</v>
      </c>
      <c r="CR182" s="21">
        <v>0</v>
      </c>
      <c r="CS182" s="21">
        <v>0</v>
      </c>
      <c r="CT182" s="21">
        <v>5</v>
      </c>
      <c r="CU182" s="21">
        <v>3</v>
      </c>
      <c r="CV182" s="21">
        <v>4</v>
      </c>
      <c r="CW182" s="21">
        <v>8</v>
      </c>
      <c r="CX182" s="21">
        <v>4</v>
      </c>
      <c r="CY182" s="21">
        <v>15</v>
      </c>
      <c r="CZ182" s="21">
        <v>5</v>
      </c>
      <c r="DA182" s="21">
        <v>0</v>
      </c>
      <c r="DB182" s="21">
        <v>0</v>
      </c>
      <c r="DC182" s="21">
        <v>40</v>
      </c>
      <c r="DD182" s="21">
        <v>20</v>
      </c>
      <c r="DE182" s="21">
        <v>30</v>
      </c>
      <c r="DF182" s="21">
        <v>60</v>
      </c>
      <c r="DG182" s="21">
        <v>30</v>
      </c>
      <c r="DH182" s="21">
        <v>280</v>
      </c>
      <c r="DI182" s="21">
        <v>60</v>
      </c>
      <c r="DJ182" s="17" t="s">
        <v>779</v>
      </c>
      <c r="DK182" s="17" t="s">
        <v>409</v>
      </c>
      <c r="DL182" s="22">
        <v>150</v>
      </c>
      <c r="DM182" s="17" t="s">
        <v>1452</v>
      </c>
      <c r="DN182" s="25" t="s">
        <v>183</v>
      </c>
      <c r="DO182" s="24" t="s">
        <v>182</v>
      </c>
      <c r="DP182" s="23"/>
      <c r="DQ182" s="23"/>
      <c r="DR182" s="23"/>
      <c r="DS182" s="23"/>
      <c r="DT182" s="23"/>
      <c r="DU182" s="23"/>
      <c r="DV182" s="23"/>
      <c r="DW182" s="24" t="s">
        <v>182</v>
      </c>
      <c r="DX182" s="25" t="s">
        <v>183</v>
      </c>
      <c r="DY182" s="25" t="s">
        <v>183</v>
      </c>
      <c r="DZ182" s="17" t="s">
        <v>1453</v>
      </c>
      <c r="EA182" s="17" t="s">
        <v>1454</v>
      </c>
      <c r="EB182" s="43" t="s">
        <v>214</v>
      </c>
      <c r="EC182" s="17" t="s">
        <v>925</v>
      </c>
      <c r="ED182" s="27" t="s">
        <v>475</v>
      </c>
      <c r="EE182" s="22">
        <v>2</v>
      </c>
      <c r="EF182" s="55" t="s">
        <v>741</v>
      </c>
    </row>
    <row r="183" spans="1:136" ht="15" customHeight="1" x14ac:dyDescent="0.25">
      <c r="A183" s="16" t="s">
        <v>1274</v>
      </c>
      <c r="B183" s="17" t="s">
        <v>409</v>
      </c>
      <c r="C183" s="17" t="s">
        <v>1275</v>
      </c>
      <c r="D183" s="18">
        <v>50.9</v>
      </c>
      <c r="E183" s="18">
        <v>2.5</v>
      </c>
      <c r="F183" s="18">
        <v>0</v>
      </c>
      <c r="G183" s="18">
        <v>8.1</v>
      </c>
      <c r="H183" s="18">
        <v>4.2</v>
      </c>
      <c r="I183" s="18">
        <v>7</v>
      </c>
      <c r="J183" s="18">
        <v>0</v>
      </c>
      <c r="K183" s="18">
        <v>28</v>
      </c>
      <c r="L183" s="18">
        <v>11</v>
      </c>
      <c r="M183" s="18">
        <v>747</v>
      </c>
      <c r="N183" s="18">
        <v>116</v>
      </c>
      <c r="O183" s="18">
        <v>0</v>
      </c>
      <c r="P183" s="18">
        <v>0</v>
      </c>
      <c r="Q183" s="18">
        <v>0</v>
      </c>
      <c r="R183" s="18">
        <v>0</v>
      </c>
      <c r="S183" s="18">
        <v>10</v>
      </c>
      <c r="T183" s="18">
        <v>0.7</v>
      </c>
      <c r="U183" s="18">
        <v>20</v>
      </c>
      <c r="V183" s="18">
        <v>0.04</v>
      </c>
      <c r="W183" s="18">
        <v>0</v>
      </c>
      <c r="X183" s="18">
        <v>0.83</v>
      </c>
      <c r="Y183" s="18">
        <v>0.02</v>
      </c>
      <c r="Z183" s="18">
        <v>0</v>
      </c>
      <c r="AA183" s="18">
        <v>191</v>
      </c>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59"/>
      <c r="BP183" s="59"/>
      <c r="BQ183" s="59"/>
      <c r="BR183" s="59"/>
      <c r="BS183" s="59"/>
      <c r="BT183" s="59"/>
      <c r="BU183" s="59"/>
      <c r="BV183" s="59"/>
      <c r="BW183" s="59"/>
      <c r="BX183" s="59"/>
      <c r="BY183" s="59"/>
      <c r="BZ183" s="59"/>
      <c r="CA183" s="59"/>
      <c r="CB183" s="59"/>
      <c r="CC183" s="59"/>
      <c r="CD183" s="59"/>
      <c r="CE183" s="59"/>
      <c r="CF183" s="59"/>
      <c r="CG183" s="59"/>
      <c r="CH183" s="59"/>
      <c r="CI183" s="32">
        <v>3</v>
      </c>
      <c r="CJ183" s="32">
        <v>8</v>
      </c>
      <c r="CK183" s="32">
        <v>2</v>
      </c>
      <c r="CL183" s="32">
        <v>5</v>
      </c>
      <c r="CM183" s="33" t="s">
        <v>1276</v>
      </c>
      <c r="CN183" s="34">
        <v>1</v>
      </c>
      <c r="CO183" s="34">
        <v>5</v>
      </c>
      <c r="CP183" s="35" t="s">
        <v>1277</v>
      </c>
      <c r="CQ183" s="35" t="s">
        <v>762</v>
      </c>
      <c r="CR183" s="36">
        <v>0</v>
      </c>
      <c r="CS183" s="36">
        <v>0</v>
      </c>
      <c r="CT183" s="36">
        <v>4</v>
      </c>
      <c r="CU183" s="36">
        <v>2</v>
      </c>
      <c r="CV183" s="36">
        <v>3</v>
      </c>
      <c r="CW183" s="36">
        <v>5</v>
      </c>
      <c r="CX183" s="36">
        <v>3</v>
      </c>
      <c r="CY183" s="36">
        <v>10</v>
      </c>
      <c r="CZ183" s="36">
        <v>5</v>
      </c>
      <c r="DA183" s="37">
        <v>0</v>
      </c>
      <c r="DB183" s="37">
        <v>0</v>
      </c>
      <c r="DC183" s="37">
        <v>30</v>
      </c>
      <c r="DD183" s="37">
        <v>15</v>
      </c>
      <c r="DE183" s="37">
        <v>20</v>
      </c>
      <c r="DF183" s="37">
        <v>40</v>
      </c>
      <c r="DG183" s="37">
        <v>20</v>
      </c>
      <c r="DH183" s="37">
        <v>200</v>
      </c>
      <c r="DI183" s="37">
        <v>50</v>
      </c>
      <c r="DJ183" s="38" t="s">
        <v>763</v>
      </c>
      <c r="DK183" s="39" t="s">
        <v>409</v>
      </c>
      <c r="DL183" s="40">
        <v>150</v>
      </c>
      <c r="DM183" s="39" t="s">
        <v>1278</v>
      </c>
      <c r="DN183" s="25" t="s">
        <v>183</v>
      </c>
      <c r="DO183" s="24" t="s">
        <v>182</v>
      </c>
      <c r="DP183" s="41"/>
      <c r="DQ183" s="41"/>
      <c r="DR183" s="41"/>
      <c r="DS183" s="41"/>
      <c r="DT183" s="41"/>
      <c r="DU183" s="41"/>
      <c r="DV183" s="41"/>
      <c r="DW183" s="24" t="s">
        <v>182</v>
      </c>
      <c r="DX183" s="25" t="s">
        <v>183</v>
      </c>
      <c r="DY183" s="25" t="s">
        <v>183</v>
      </c>
      <c r="DZ183" s="42" t="s">
        <v>1279</v>
      </c>
      <c r="EA183" s="42" t="s">
        <v>766</v>
      </c>
      <c r="EB183" s="48" t="s">
        <v>239</v>
      </c>
      <c r="EC183" s="44" t="s">
        <v>1280</v>
      </c>
      <c r="ED183" s="45" t="s">
        <v>241</v>
      </c>
      <c r="EE183" s="46">
        <v>4</v>
      </c>
      <c r="EF183" s="47" t="s">
        <v>217</v>
      </c>
    </row>
    <row r="184" spans="1:136" ht="15" customHeight="1" x14ac:dyDescent="0.25">
      <c r="A184" s="16" t="s">
        <v>2248</v>
      </c>
      <c r="B184" s="29" t="s">
        <v>2221</v>
      </c>
      <c r="C184" s="29" t="s">
        <v>2249</v>
      </c>
      <c r="D184" s="30">
        <v>34.700000000000003</v>
      </c>
      <c r="E184" s="30">
        <v>0.6</v>
      </c>
      <c r="F184" s="30">
        <v>0</v>
      </c>
      <c r="G184" s="30">
        <v>6.6</v>
      </c>
      <c r="H184" s="30">
        <v>3.2</v>
      </c>
      <c r="I184" s="30">
        <v>26</v>
      </c>
      <c r="J184" s="30">
        <v>0.21</v>
      </c>
      <c r="K184" s="30">
        <v>11</v>
      </c>
      <c r="L184" s="30">
        <v>31</v>
      </c>
      <c r="M184" s="30">
        <v>266</v>
      </c>
      <c r="N184" s="30">
        <v>51</v>
      </c>
      <c r="O184" s="30">
        <v>0.15</v>
      </c>
      <c r="P184" s="30">
        <v>3.5999999999999997E-2</v>
      </c>
      <c r="Q184" s="30">
        <v>0.14799999999999999</v>
      </c>
      <c r="R184" s="30">
        <v>0</v>
      </c>
      <c r="S184" s="30">
        <v>1640</v>
      </c>
      <c r="T184" s="30">
        <v>0</v>
      </c>
      <c r="U184" s="30">
        <v>3</v>
      </c>
      <c r="V184" s="30">
        <v>0.02</v>
      </c>
      <c r="W184" s="30">
        <v>0</v>
      </c>
      <c r="X184" s="30">
        <v>0</v>
      </c>
      <c r="Y184" s="30">
        <v>0.02</v>
      </c>
      <c r="Z184" s="30">
        <v>0</v>
      </c>
      <c r="AA184" s="30">
        <v>50</v>
      </c>
      <c r="AB184" s="31">
        <v>871</v>
      </c>
      <c r="AC184" s="31" t="s">
        <v>2250</v>
      </c>
      <c r="AD184" s="31" t="s">
        <v>221</v>
      </c>
      <c r="AE184" s="31" t="s">
        <v>195</v>
      </c>
      <c r="AF184" s="31"/>
      <c r="AG184" s="31" t="s">
        <v>2251</v>
      </c>
      <c r="AH184" s="31" t="s">
        <v>2252</v>
      </c>
      <c r="AI184" s="31" t="s">
        <v>155</v>
      </c>
      <c r="AJ184" s="31" t="s">
        <v>156</v>
      </c>
      <c r="AK184" s="31" t="s">
        <v>157</v>
      </c>
      <c r="AL184" s="31" t="s">
        <v>227</v>
      </c>
      <c r="AM184" s="31"/>
      <c r="AN184" s="31" t="s">
        <v>160</v>
      </c>
      <c r="AO184" s="31" t="s">
        <v>2253</v>
      </c>
      <c r="AP184" s="31" t="s">
        <v>316</v>
      </c>
      <c r="AQ184" s="31" t="s">
        <v>287</v>
      </c>
      <c r="AR184" s="31">
        <v>15</v>
      </c>
      <c r="AS184" s="31">
        <v>24</v>
      </c>
      <c r="AT184" s="31">
        <v>3</v>
      </c>
      <c r="AU184" s="31">
        <v>30</v>
      </c>
      <c r="AV184" s="31">
        <v>600</v>
      </c>
      <c r="AW184" s="31">
        <v>1200</v>
      </c>
      <c r="AX184" s="31">
        <v>400</v>
      </c>
      <c r="AY184" s="31">
        <v>4000</v>
      </c>
      <c r="AZ184" s="31">
        <v>5.8</v>
      </c>
      <c r="BA184" s="31">
        <v>6.8</v>
      </c>
      <c r="BB184" s="31">
        <v>4.2</v>
      </c>
      <c r="BC184" s="31">
        <v>8.6999999999999993</v>
      </c>
      <c r="BD184" s="31">
        <v>20</v>
      </c>
      <c r="BE184" s="31"/>
      <c r="BF184" s="31">
        <v>55</v>
      </c>
      <c r="BG184" s="31">
        <v>63</v>
      </c>
      <c r="BH184" s="31">
        <v>2600</v>
      </c>
      <c r="BI184" s="31" t="s">
        <v>164</v>
      </c>
      <c r="BJ184" s="31" t="s">
        <v>165</v>
      </c>
      <c r="BK184" s="31" t="s">
        <v>163</v>
      </c>
      <c r="BL184" s="31" t="s">
        <v>165</v>
      </c>
      <c r="BM184" s="31" t="s">
        <v>166</v>
      </c>
      <c r="BN184" s="31" t="s">
        <v>166</v>
      </c>
      <c r="BO184" s="60" t="s">
        <v>167</v>
      </c>
      <c r="BP184" s="60" t="s">
        <v>203</v>
      </c>
      <c r="BQ184" s="60" t="s">
        <v>170</v>
      </c>
      <c r="BR184" s="60" t="s">
        <v>170</v>
      </c>
      <c r="BS184" s="60"/>
      <c r="BT184" s="60"/>
      <c r="BU184" s="60" t="s">
        <v>171</v>
      </c>
      <c r="BV184" s="60" t="s">
        <v>171</v>
      </c>
      <c r="BW184" s="60" t="s">
        <v>172</v>
      </c>
      <c r="BX184" s="60" t="s">
        <v>172</v>
      </c>
      <c r="BY184" s="60">
        <v>-1</v>
      </c>
      <c r="BZ184" s="60">
        <v>0</v>
      </c>
      <c r="CA184" s="60" t="s">
        <v>204</v>
      </c>
      <c r="CB184" s="60" t="s">
        <v>205</v>
      </c>
      <c r="CC184" s="60"/>
      <c r="CD184" s="60"/>
      <c r="CE184" s="60"/>
      <c r="CF184" s="60" t="s">
        <v>206</v>
      </c>
      <c r="CG184" s="60">
        <v>40</v>
      </c>
      <c r="CH184" s="60">
        <v>150</v>
      </c>
      <c r="CI184" s="32">
        <v>0.2</v>
      </c>
      <c r="CJ184" s="32">
        <v>0.5</v>
      </c>
      <c r="CK184" s="32">
        <v>0.1</v>
      </c>
      <c r="CL184" s="32">
        <v>0.3</v>
      </c>
      <c r="CM184" s="33" t="s">
        <v>2254</v>
      </c>
      <c r="CN184" s="34">
        <v>15</v>
      </c>
      <c r="CO184" s="34">
        <v>80</v>
      </c>
      <c r="CP184" s="35" t="s">
        <v>2255</v>
      </c>
      <c r="CQ184" s="35" t="s">
        <v>178</v>
      </c>
      <c r="CR184" s="36">
        <v>5</v>
      </c>
      <c r="CS184" s="36">
        <v>2</v>
      </c>
      <c r="CT184" s="36">
        <v>8</v>
      </c>
      <c r="CU184" s="36">
        <v>3</v>
      </c>
      <c r="CV184" s="36">
        <v>4</v>
      </c>
      <c r="CW184" s="36">
        <v>0</v>
      </c>
      <c r="CX184" s="36">
        <v>4</v>
      </c>
      <c r="CY184" s="36">
        <v>8</v>
      </c>
      <c r="CZ184" s="36">
        <v>8</v>
      </c>
      <c r="DA184" s="37">
        <v>140</v>
      </c>
      <c r="DB184" s="37">
        <v>60</v>
      </c>
      <c r="DC184" s="37">
        <v>250</v>
      </c>
      <c r="DD184" s="37">
        <v>25</v>
      </c>
      <c r="DE184" s="37">
        <v>30</v>
      </c>
      <c r="DF184" s="37">
        <v>0</v>
      </c>
      <c r="DG184" s="37">
        <v>40</v>
      </c>
      <c r="DH184" s="37">
        <v>300</v>
      </c>
      <c r="DI184" s="37">
        <v>150</v>
      </c>
      <c r="DJ184" s="38" t="s">
        <v>2256</v>
      </c>
      <c r="DK184" s="39" t="s">
        <v>180</v>
      </c>
      <c r="DL184" s="40">
        <v>75</v>
      </c>
      <c r="DM184" s="39" t="s">
        <v>2257</v>
      </c>
      <c r="DN184" s="41"/>
      <c r="DO184" s="41"/>
      <c r="DP184" s="24" t="s">
        <v>182</v>
      </c>
      <c r="DQ184" s="25" t="s">
        <v>183</v>
      </c>
      <c r="DR184" s="25" t="s">
        <v>183</v>
      </c>
      <c r="DS184" s="25" t="s">
        <v>183</v>
      </c>
      <c r="DT184" s="25" t="s">
        <v>183</v>
      </c>
      <c r="DU184" s="25" t="s">
        <v>183</v>
      </c>
      <c r="DV184" s="25" t="s">
        <v>183</v>
      </c>
      <c r="DW184" s="24" t="s">
        <v>182</v>
      </c>
      <c r="DX184" s="24" t="s">
        <v>182</v>
      </c>
      <c r="DY184" s="41"/>
      <c r="DZ184" s="42" t="s">
        <v>2258</v>
      </c>
      <c r="EA184" s="42" t="s">
        <v>379</v>
      </c>
      <c r="EB184" s="48" t="s">
        <v>239</v>
      </c>
      <c r="EC184" s="44" t="s">
        <v>2259</v>
      </c>
      <c r="ED184" s="45" t="s">
        <v>428</v>
      </c>
      <c r="EE184" s="46">
        <v>2</v>
      </c>
      <c r="EF184" s="50" t="s">
        <v>428</v>
      </c>
    </row>
    <row r="185" spans="1:136" ht="15" customHeight="1" x14ac:dyDescent="0.25">
      <c r="A185" s="16" t="s">
        <v>1294</v>
      </c>
      <c r="B185" s="17" t="s">
        <v>409</v>
      </c>
      <c r="C185" s="17" t="s">
        <v>1295</v>
      </c>
      <c r="D185" s="18">
        <v>74.599999999999994</v>
      </c>
      <c r="E185" s="18">
        <v>1</v>
      </c>
      <c r="F185" s="18">
        <v>0.4</v>
      </c>
      <c r="G185" s="18">
        <v>15.7</v>
      </c>
      <c r="H185" s="18">
        <v>2.8</v>
      </c>
      <c r="I185" s="18">
        <v>8</v>
      </c>
      <c r="J185" s="18">
        <v>0.1</v>
      </c>
      <c r="K185" s="18">
        <v>10</v>
      </c>
      <c r="L185" s="18">
        <v>9</v>
      </c>
      <c r="M185" s="18">
        <v>140</v>
      </c>
      <c r="N185" s="18">
        <v>2</v>
      </c>
      <c r="O185" s="18">
        <v>0.6</v>
      </c>
      <c r="P185" s="18"/>
      <c r="Q185" s="18"/>
      <c r="R185" s="18">
        <v>0</v>
      </c>
      <c r="S185" s="18">
        <v>0</v>
      </c>
      <c r="T185" s="18">
        <v>0.54</v>
      </c>
      <c r="U185" s="18">
        <v>70</v>
      </c>
      <c r="V185" s="18">
        <v>1.4999999999999999E-2</v>
      </c>
      <c r="W185" s="18">
        <v>6.5000000000000002E-2</v>
      </c>
      <c r="X185" s="18">
        <v>0.8</v>
      </c>
      <c r="Y185" s="18">
        <v>0.02</v>
      </c>
      <c r="Z185" s="18">
        <v>0</v>
      </c>
      <c r="AA185" s="18">
        <v>8</v>
      </c>
      <c r="AB185" s="18">
        <v>1528</v>
      </c>
      <c r="AC185" s="18" t="s">
        <v>1296</v>
      </c>
      <c r="AD185" s="18" t="s">
        <v>221</v>
      </c>
      <c r="AE185" s="18" t="s">
        <v>957</v>
      </c>
      <c r="AF185" s="18" t="s">
        <v>1297</v>
      </c>
      <c r="AG185" s="18" t="s">
        <v>1298</v>
      </c>
      <c r="AH185" s="18" t="s">
        <v>1299</v>
      </c>
      <c r="AI185" s="18" t="s">
        <v>226</v>
      </c>
      <c r="AJ185" s="18" t="s">
        <v>337</v>
      </c>
      <c r="AK185" s="18" t="s">
        <v>157</v>
      </c>
      <c r="AL185" s="18" t="s">
        <v>314</v>
      </c>
      <c r="AM185" s="18"/>
      <c r="AN185" s="18" t="s">
        <v>718</v>
      </c>
      <c r="AO185" s="18" t="s">
        <v>994</v>
      </c>
      <c r="AP185" s="18" t="s">
        <v>419</v>
      </c>
      <c r="AQ185" s="18" t="s">
        <v>162</v>
      </c>
      <c r="AR185" s="18">
        <v>21</v>
      </c>
      <c r="AS185" s="18">
        <v>35</v>
      </c>
      <c r="AT185" s="18">
        <v>10</v>
      </c>
      <c r="AU185" s="18">
        <v>42</v>
      </c>
      <c r="AV185" s="18">
        <v>2000</v>
      </c>
      <c r="AW185" s="18">
        <v>3000</v>
      </c>
      <c r="AX185" s="18">
        <v>1400</v>
      </c>
      <c r="AY185" s="18">
        <v>4000</v>
      </c>
      <c r="AZ185" s="18">
        <v>5</v>
      </c>
      <c r="BA185" s="18">
        <v>6.5</v>
      </c>
      <c r="BB185" s="18">
        <v>4.5</v>
      </c>
      <c r="BC185" s="18">
        <v>7.5</v>
      </c>
      <c r="BD185" s="18"/>
      <c r="BE185" s="18"/>
      <c r="BF185" s="18">
        <v>15</v>
      </c>
      <c r="BG185" s="18">
        <v>17</v>
      </c>
      <c r="BH185" s="18">
        <v>1950</v>
      </c>
      <c r="BI185" s="18" t="s">
        <v>164</v>
      </c>
      <c r="BJ185" s="18" t="s">
        <v>165</v>
      </c>
      <c r="BK185" s="18" t="s">
        <v>164</v>
      </c>
      <c r="BL185" s="18" t="s">
        <v>317</v>
      </c>
      <c r="BM185" s="18" t="s">
        <v>288</v>
      </c>
      <c r="BN185" s="18" t="s">
        <v>166</v>
      </c>
      <c r="BO185" s="59" t="s">
        <v>202</v>
      </c>
      <c r="BP185" s="59" t="s">
        <v>567</v>
      </c>
      <c r="BQ185" s="59" t="s">
        <v>169</v>
      </c>
      <c r="BR185" s="59" t="s">
        <v>170</v>
      </c>
      <c r="BS185" s="59"/>
      <c r="BT185" s="59"/>
      <c r="BU185" s="59" t="s">
        <v>171</v>
      </c>
      <c r="BV185" s="59" t="s">
        <v>171</v>
      </c>
      <c r="BW185" s="59" t="s">
        <v>172</v>
      </c>
      <c r="BX185" s="59" t="s">
        <v>882</v>
      </c>
      <c r="BY185" s="59">
        <v>4</v>
      </c>
      <c r="BZ185" s="59">
        <v>4</v>
      </c>
      <c r="CA185" s="59" t="s">
        <v>173</v>
      </c>
      <c r="CB185" s="59" t="s">
        <v>342</v>
      </c>
      <c r="CC185" s="59" t="s">
        <v>720</v>
      </c>
      <c r="CD185" s="59" t="s">
        <v>964</v>
      </c>
      <c r="CE185" s="59"/>
      <c r="CF185" s="59"/>
      <c r="CG185" s="59">
        <v>170</v>
      </c>
      <c r="CH185" s="59">
        <v>365</v>
      </c>
      <c r="CI185" s="32">
        <v>10</v>
      </c>
      <c r="CJ185" s="32">
        <v>25</v>
      </c>
      <c r="CK185" s="32">
        <v>8</v>
      </c>
      <c r="CL185" s="32">
        <v>15</v>
      </c>
      <c r="CM185" s="33" t="s">
        <v>568</v>
      </c>
      <c r="CN185" s="34">
        <v>5</v>
      </c>
      <c r="CO185" s="34">
        <v>25</v>
      </c>
      <c r="CP185" s="35" t="s">
        <v>1300</v>
      </c>
      <c r="CQ185" s="35" t="s">
        <v>209</v>
      </c>
      <c r="CR185" s="36">
        <v>0</v>
      </c>
      <c r="CS185" s="36">
        <v>0</v>
      </c>
      <c r="CT185" s="36">
        <v>6</v>
      </c>
      <c r="CU185" s="36">
        <v>4</v>
      </c>
      <c r="CV185" s="36">
        <v>6</v>
      </c>
      <c r="CW185" s="36">
        <v>10</v>
      </c>
      <c r="CX185" s="36">
        <v>5</v>
      </c>
      <c r="CY185" s="36">
        <v>25</v>
      </c>
      <c r="CZ185" s="36">
        <v>8</v>
      </c>
      <c r="DA185" s="37">
        <v>0</v>
      </c>
      <c r="DB185" s="37">
        <v>0</v>
      </c>
      <c r="DC185" s="37">
        <v>50</v>
      </c>
      <c r="DD185" s="37">
        <v>25</v>
      </c>
      <c r="DE185" s="37">
        <v>40</v>
      </c>
      <c r="DF185" s="37">
        <v>80</v>
      </c>
      <c r="DG185" s="37">
        <v>35</v>
      </c>
      <c r="DH185" s="37">
        <v>400</v>
      </c>
      <c r="DI185" s="37">
        <v>80</v>
      </c>
      <c r="DJ185" s="38" t="s">
        <v>1301</v>
      </c>
      <c r="DK185" s="39" t="s">
        <v>409</v>
      </c>
      <c r="DL185" s="40">
        <v>150</v>
      </c>
      <c r="DM185" s="39" t="s">
        <v>1302</v>
      </c>
      <c r="DN185" s="25" t="s">
        <v>183</v>
      </c>
      <c r="DO185" s="25" t="s">
        <v>183</v>
      </c>
      <c r="DP185" s="24" t="s">
        <v>182</v>
      </c>
      <c r="DQ185" s="41"/>
      <c r="DR185" s="41"/>
      <c r="DS185" s="41"/>
      <c r="DT185" s="41"/>
      <c r="DU185" s="41"/>
      <c r="DV185" s="41"/>
      <c r="DW185" s="41"/>
      <c r="DX185" s="24" t="s">
        <v>182</v>
      </c>
      <c r="DY185" s="25" t="s">
        <v>183</v>
      </c>
      <c r="DZ185" s="42" t="s">
        <v>1303</v>
      </c>
      <c r="EA185" s="42" t="s">
        <v>1304</v>
      </c>
      <c r="EB185" s="43" t="s">
        <v>214</v>
      </c>
      <c r="EC185" s="44" t="s">
        <v>591</v>
      </c>
      <c r="ED185" s="45" t="s">
        <v>475</v>
      </c>
      <c r="EE185" s="46">
        <v>5</v>
      </c>
      <c r="EF185" s="47" t="s">
        <v>304</v>
      </c>
    </row>
    <row r="186" spans="1:136" ht="15" customHeight="1" x14ac:dyDescent="0.25">
      <c r="A186" s="16" t="s">
        <v>408</v>
      </c>
      <c r="B186" s="17" t="s">
        <v>409</v>
      </c>
      <c r="C186" s="17" t="s">
        <v>410</v>
      </c>
      <c r="D186" s="18">
        <v>57.8</v>
      </c>
      <c r="E186" s="18">
        <v>0.2</v>
      </c>
      <c r="F186" s="18">
        <v>0</v>
      </c>
      <c r="G186" s="18">
        <v>13</v>
      </c>
      <c r="H186" s="18">
        <v>1.8</v>
      </c>
      <c r="I186" s="18">
        <v>4</v>
      </c>
      <c r="J186" s="18">
        <v>0.09</v>
      </c>
      <c r="K186" s="18">
        <v>5</v>
      </c>
      <c r="L186" s="18">
        <v>9</v>
      </c>
      <c r="M186" s="18">
        <v>130</v>
      </c>
      <c r="N186" s="18">
        <v>0</v>
      </c>
      <c r="O186" s="18">
        <v>0.03</v>
      </c>
      <c r="P186" s="18">
        <v>6.9000000000000006E-2</v>
      </c>
      <c r="Q186" s="18">
        <v>4.2999999999999997E-2</v>
      </c>
      <c r="R186" s="18">
        <v>0</v>
      </c>
      <c r="S186" s="18">
        <v>0</v>
      </c>
      <c r="T186" s="18">
        <v>0</v>
      </c>
      <c r="U186" s="18">
        <v>2</v>
      </c>
      <c r="V186" s="18">
        <v>0</v>
      </c>
      <c r="W186" s="18">
        <v>0</v>
      </c>
      <c r="X186" s="18">
        <v>0</v>
      </c>
      <c r="Y186" s="18">
        <v>0.02</v>
      </c>
      <c r="Z186" s="18">
        <v>0</v>
      </c>
      <c r="AA186" s="18">
        <v>0</v>
      </c>
      <c r="AB186" s="18">
        <v>1407</v>
      </c>
      <c r="AC186" s="18" t="s">
        <v>411</v>
      </c>
      <c r="AD186" s="18" t="s">
        <v>412</v>
      </c>
      <c r="AE186" s="18" t="s">
        <v>413</v>
      </c>
      <c r="AF186" s="18" t="s">
        <v>414</v>
      </c>
      <c r="AG186" s="18" t="s">
        <v>415</v>
      </c>
      <c r="AH186" s="18" t="s">
        <v>416</v>
      </c>
      <c r="AI186" s="18" t="s">
        <v>155</v>
      </c>
      <c r="AJ186" s="18" t="s">
        <v>337</v>
      </c>
      <c r="AK186" s="18" t="s">
        <v>157</v>
      </c>
      <c r="AL186" s="18" t="s">
        <v>314</v>
      </c>
      <c r="AM186" s="18"/>
      <c r="AN186" s="18" t="s">
        <v>417</v>
      </c>
      <c r="AO186" s="18" t="s">
        <v>418</v>
      </c>
      <c r="AP186" s="18" t="s">
        <v>419</v>
      </c>
      <c r="AQ186" s="18" t="s">
        <v>162</v>
      </c>
      <c r="AR186" s="18">
        <v>14</v>
      </c>
      <c r="AS186" s="18">
        <v>27</v>
      </c>
      <c r="AT186" s="18">
        <v>8</v>
      </c>
      <c r="AU186" s="18">
        <v>33</v>
      </c>
      <c r="AV186" s="18">
        <v>700</v>
      </c>
      <c r="AW186" s="18">
        <v>2500</v>
      </c>
      <c r="AX186" s="18">
        <v>500</v>
      </c>
      <c r="AY186" s="18">
        <v>3200</v>
      </c>
      <c r="AZ186" s="18">
        <v>6</v>
      </c>
      <c r="BA186" s="18">
        <v>7</v>
      </c>
      <c r="BB186" s="18">
        <v>4.5</v>
      </c>
      <c r="BC186" s="18">
        <v>8</v>
      </c>
      <c r="BD186" s="18">
        <v>35</v>
      </c>
      <c r="BE186" s="18">
        <v>30</v>
      </c>
      <c r="BF186" s="18">
        <v>50</v>
      </c>
      <c r="BG186" s="18">
        <v>60</v>
      </c>
      <c r="BH186" s="18">
        <v>1800</v>
      </c>
      <c r="BI186" s="18" t="s">
        <v>163</v>
      </c>
      <c r="BJ186" s="18" t="s">
        <v>164</v>
      </c>
      <c r="BK186" s="18" t="s">
        <v>163</v>
      </c>
      <c r="BL186" s="18" t="s">
        <v>165</v>
      </c>
      <c r="BM186" s="18" t="s">
        <v>288</v>
      </c>
      <c r="BN186" s="18" t="s">
        <v>166</v>
      </c>
      <c r="BO186" s="59" t="s">
        <v>250</v>
      </c>
      <c r="BP186" s="59" t="s">
        <v>203</v>
      </c>
      <c r="BQ186" s="59" t="s">
        <v>169</v>
      </c>
      <c r="BR186" s="59" t="s">
        <v>170</v>
      </c>
      <c r="BS186" s="59"/>
      <c r="BT186" s="59"/>
      <c r="BU186" s="59" t="s">
        <v>171</v>
      </c>
      <c r="BV186" s="59" t="s">
        <v>171</v>
      </c>
      <c r="BW186" s="59" t="s">
        <v>172</v>
      </c>
      <c r="BX186" s="59" t="s">
        <v>172</v>
      </c>
      <c r="BY186" s="59">
        <v>-30</v>
      </c>
      <c r="BZ186" s="59">
        <v>-2</v>
      </c>
      <c r="CA186" s="59" t="s">
        <v>173</v>
      </c>
      <c r="CB186" s="59" t="s">
        <v>420</v>
      </c>
      <c r="CC186" s="59"/>
      <c r="CD186" s="59"/>
      <c r="CE186" s="59"/>
      <c r="CF186" s="59"/>
      <c r="CG186" s="59">
        <v>180</v>
      </c>
      <c r="CH186" s="59">
        <v>320</v>
      </c>
      <c r="CI186" s="19">
        <v>3</v>
      </c>
      <c r="CJ186" s="19">
        <v>9</v>
      </c>
      <c r="CK186" s="19">
        <v>3</v>
      </c>
      <c r="CL186" s="19">
        <v>9</v>
      </c>
      <c r="CM186" s="17" t="s">
        <v>421</v>
      </c>
      <c r="CN186" s="20">
        <v>5</v>
      </c>
      <c r="CO186" s="20">
        <v>70</v>
      </c>
      <c r="CP186" s="17" t="s">
        <v>422</v>
      </c>
      <c r="CQ186" s="17" t="s">
        <v>345</v>
      </c>
      <c r="CR186" s="21">
        <v>0</v>
      </c>
      <c r="CS186" s="21">
        <v>0</v>
      </c>
      <c r="CT186" s="21">
        <v>8</v>
      </c>
      <c r="CU186" s="21">
        <v>3</v>
      </c>
      <c r="CV186" s="21">
        <v>8</v>
      </c>
      <c r="CW186" s="21">
        <v>30</v>
      </c>
      <c r="CX186" s="21">
        <v>5</v>
      </c>
      <c r="CY186" s="21">
        <v>50</v>
      </c>
      <c r="CZ186" s="21">
        <v>10</v>
      </c>
      <c r="DA186" s="21">
        <v>0</v>
      </c>
      <c r="DB186" s="21">
        <v>0</v>
      </c>
      <c r="DC186" s="21">
        <v>80</v>
      </c>
      <c r="DD186" s="21">
        <v>20</v>
      </c>
      <c r="DE186" s="21">
        <v>40</v>
      </c>
      <c r="DF186" s="21">
        <v>200</v>
      </c>
      <c r="DG186" s="21">
        <v>30</v>
      </c>
      <c r="DH186" s="21">
        <v>500</v>
      </c>
      <c r="DI186" s="21">
        <v>80</v>
      </c>
      <c r="DJ186" s="17" t="s">
        <v>423</v>
      </c>
      <c r="DK186" s="17" t="s">
        <v>409</v>
      </c>
      <c r="DL186" s="22">
        <v>150</v>
      </c>
      <c r="DM186" s="17" t="s">
        <v>424</v>
      </c>
      <c r="DN186" s="24" t="s">
        <v>182</v>
      </c>
      <c r="DO186" s="25" t="s">
        <v>183</v>
      </c>
      <c r="DP186" s="25" t="s">
        <v>183</v>
      </c>
      <c r="DQ186" s="25" t="s">
        <v>183</v>
      </c>
      <c r="DR186" s="24" t="s">
        <v>182</v>
      </c>
      <c r="DS186" s="23"/>
      <c r="DT186" s="23"/>
      <c r="DU186" s="23"/>
      <c r="DV186" s="23"/>
      <c r="DW186" s="23"/>
      <c r="DX186" s="23"/>
      <c r="DY186" s="23"/>
      <c r="DZ186" s="17" t="s">
        <v>425</v>
      </c>
      <c r="EA186" s="17" t="s">
        <v>426</v>
      </c>
      <c r="EB186" s="48" t="s">
        <v>239</v>
      </c>
      <c r="EC186" s="17" t="s">
        <v>427</v>
      </c>
      <c r="ED186" s="27" t="s">
        <v>428</v>
      </c>
      <c r="EE186" s="22">
        <v>2</v>
      </c>
      <c r="EF186" s="49" t="s">
        <v>428</v>
      </c>
    </row>
    <row r="187" spans="1:136" ht="15" customHeight="1" x14ac:dyDescent="0.25">
      <c r="A187" s="16" t="s">
        <v>1026</v>
      </c>
      <c r="B187" s="17" t="s">
        <v>409</v>
      </c>
      <c r="C187" s="17" t="s">
        <v>1027</v>
      </c>
      <c r="D187" s="18">
        <v>73</v>
      </c>
      <c r="E187" s="18">
        <v>0.41</v>
      </c>
      <c r="F187" s="18">
        <v>17.91</v>
      </c>
      <c r="G187" s="18">
        <v>1.8</v>
      </c>
      <c r="H187" s="18">
        <v>0.57999999999999996</v>
      </c>
      <c r="I187" s="18">
        <v>12</v>
      </c>
      <c r="J187" s="18">
        <v>0.3</v>
      </c>
      <c r="K187" s="18">
        <v>13</v>
      </c>
      <c r="L187" s="18">
        <v>8</v>
      </c>
      <c r="M187" s="18">
        <v>48</v>
      </c>
      <c r="N187" s="18">
        <v>7</v>
      </c>
      <c r="O187" s="18">
        <v>0.21</v>
      </c>
      <c r="P187" s="18">
        <v>6.9000000000000006E-2</v>
      </c>
      <c r="Q187" s="18">
        <v>0.10199999999999999</v>
      </c>
      <c r="R187" s="18">
        <v>0</v>
      </c>
      <c r="S187" s="18">
        <v>35</v>
      </c>
      <c r="T187" s="18">
        <v>0</v>
      </c>
      <c r="U187" s="18">
        <v>2.9</v>
      </c>
      <c r="V187" s="18">
        <v>5.3999999999999999E-2</v>
      </c>
      <c r="W187" s="18">
        <v>5.3999999999999999E-2</v>
      </c>
      <c r="X187" s="18">
        <v>0.28599999999999998</v>
      </c>
      <c r="Y187" s="18">
        <v>1.7999999999999999E-2</v>
      </c>
      <c r="Z187" s="18">
        <v>0</v>
      </c>
      <c r="AA187" s="18">
        <v>31</v>
      </c>
      <c r="AB187" s="18">
        <v>1122</v>
      </c>
      <c r="AC187" s="18" t="s">
        <v>1028</v>
      </c>
      <c r="AD187" s="18" t="s">
        <v>221</v>
      </c>
      <c r="AE187" s="18" t="s">
        <v>1029</v>
      </c>
      <c r="AF187" s="18" t="s">
        <v>1030</v>
      </c>
      <c r="AG187" s="18" t="s">
        <v>1031</v>
      </c>
      <c r="AH187" s="18" t="s">
        <v>1032</v>
      </c>
      <c r="AI187" s="18" t="s">
        <v>226</v>
      </c>
      <c r="AJ187" s="18" t="s">
        <v>337</v>
      </c>
      <c r="AK187" s="18" t="s">
        <v>157</v>
      </c>
      <c r="AL187" s="18" t="s">
        <v>314</v>
      </c>
      <c r="AM187" s="18">
        <v>0</v>
      </c>
      <c r="AN187" s="18" t="s">
        <v>338</v>
      </c>
      <c r="AO187" s="18" t="s">
        <v>637</v>
      </c>
      <c r="AP187" s="18" t="s">
        <v>419</v>
      </c>
      <c r="AQ187" s="18" t="s">
        <v>162</v>
      </c>
      <c r="AR187" s="18">
        <v>20</v>
      </c>
      <c r="AS187" s="18">
        <v>30</v>
      </c>
      <c r="AT187" s="18">
        <v>15</v>
      </c>
      <c r="AU187" s="18">
        <v>40</v>
      </c>
      <c r="AV187" s="18">
        <v>1600</v>
      </c>
      <c r="AW187" s="18">
        <v>2000</v>
      </c>
      <c r="AX187" s="18">
        <v>1100</v>
      </c>
      <c r="AY187" s="18">
        <v>2800</v>
      </c>
      <c r="AZ187" s="18">
        <v>5</v>
      </c>
      <c r="BA187" s="18">
        <v>6</v>
      </c>
      <c r="BB187" s="18">
        <v>4.3</v>
      </c>
      <c r="BC187" s="18">
        <v>7.5</v>
      </c>
      <c r="BD187" s="18">
        <v>0</v>
      </c>
      <c r="BE187" s="18">
        <v>0</v>
      </c>
      <c r="BF187" s="18">
        <v>10</v>
      </c>
      <c r="BG187" s="18">
        <v>18</v>
      </c>
      <c r="BH187" s="18">
        <v>1000</v>
      </c>
      <c r="BI187" s="18" t="s">
        <v>164</v>
      </c>
      <c r="BJ187" s="18" t="s">
        <v>165</v>
      </c>
      <c r="BK187" s="18" t="s">
        <v>164</v>
      </c>
      <c r="BL187" s="18" t="s">
        <v>317</v>
      </c>
      <c r="BM187" s="18" t="s">
        <v>288</v>
      </c>
      <c r="BN187" s="18" t="s">
        <v>288</v>
      </c>
      <c r="BO187" t="s">
        <v>168</v>
      </c>
      <c r="BP187" t="s">
        <v>567</v>
      </c>
      <c r="BQ187" t="s">
        <v>169</v>
      </c>
      <c r="BR187" t="s">
        <v>170</v>
      </c>
      <c r="BS187">
        <v>0</v>
      </c>
      <c r="BT187">
        <v>0</v>
      </c>
      <c r="BU187" t="s">
        <v>171</v>
      </c>
      <c r="BV187" t="s">
        <v>171</v>
      </c>
      <c r="BW187" t="s">
        <v>172</v>
      </c>
      <c r="BX187" t="s">
        <v>172</v>
      </c>
      <c r="BY187">
        <v>4</v>
      </c>
      <c r="BZ187">
        <v>4</v>
      </c>
      <c r="CA187" t="s">
        <v>173</v>
      </c>
      <c r="CB187" t="s">
        <v>775</v>
      </c>
      <c r="CC187">
        <v>0</v>
      </c>
      <c r="CD187">
        <v>0</v>
      </c>
      <c r="CE187">
        <v>0</v>
      </c>
      <c r="CF187">
        <v>0</v>
      </c>
      <c r="CG187">
        <v>365</v>
      </c>
      <c r="CH187">
        <v>365</v>
      </c>
      <c r="CI187" s="32">
        <v>6</v>
      </c>
      <c r="CJ187" s="32">
        <v>25</v>
      </c>
      <c r="CK187" s="32">
        <v>4</v>
      </c>
      <c r="CL187" s="32">
        <v>10</v>
      </c>
      <c r="CM187" s="33" t="s">
        <v>1033</v>
      </c>
      <c r="CN187" s="34">
        <v>5</v>
      </c>
      <c r="CO187" s="34">
        <v>15</v>
      </c>
      <c r="CP187" s="35" t="s">
        <v>1034</v>
      </c>
      <c r="CQ187" s="35" t="s">
        <v>296</v>
      </c>
      <c r="CR187" s="36">
        <v>0</v>
      </c>
      <c r="CS187" s="36">
        <v>0</v>
      </c>
      <c r="CT187" s="36">
        <v>6</v>
      </c>
      <c r="CU187" s="36">
        <v>4</v>
      </c>
      <c r="CV187" s="36">
        <v>5</v>
      </c>
      <c r="CW187" s="36">
        <v>5</v>
      </c>
      <c r="CX187" s="36">
        <v>5</v>
      </c>
      <c r="CY187" s="36">
        <v>20</v>
      </c>
      <c r="CZ187" s="36">
        <v>8</v>
      </c>
      <c r="DA187" s="37">
        <v>0</v>
      </c>
      <c r="DB187" s="37">
        <v>0</v>
      </c>
      <c r="DC187" s="37">
        <v>50</v>
      </c>
      <c r="DD187" s="37">
        <v>25</v>
      </c>
      <c r="DE187" s="37">
        <v>35</v>
      </c>
      <c r="DF187" s="37">
        <v>40</v>
      </c>
      <c r="DG187" s="37">
        <v>35</v>
      </c>
      <c r="DH187" s="37">
        <v>400</v>
      </c>
      <c r="DI187" s="37">
        <v>80</v>
      </c>
      <c r="DJ187" s="38" t="s">
        <v>779</v>
      </c>
      <c r="DK187" s="39" t="s">
        <v>409</v>
      </c>
      <c r="DL187" s="40">
        <v>150</v>
      </c>
      <c r="DM187" s="39" t="s">
        <v>1035</v>
      </c>
      <c r="DN187" s="25" t="s">
        <v>183</v>
      </c>
      <c r="DO187" s="24" t="s">
        <v>182</v>
      </c>
      <c r="DP187" s="41"/>
      <c r="DQ187" s="41"/>
      <c r="DR187" s="41"/>
      <c r="DS187" s="41"/>
      <c r="DT187" s="41"/>
      <c r="DU187" s="41"/>
      <c r="DV187" s="41"/>
      <c r="DW187" s="24" t="s">
        <v>182</v>
      </c>
      <c r="DX187" s="25" t="s">
        <v>183</v>
      </c>
      <c r="DY187" s="25" t="s">
        <v>183</v>
      </c>
      <c r="DZ187" s="42" t="s">
        <v>1036</v>
      </c>
      <c r="EA187" s="42" t="s">
        <v>1037</v>
      </c>
      <c r="EB187" s="43" t="s">
        <v>214</v>
      </c>
      <c r="EC187" s="44" t="s">
        <v>925</v>
      </c>
      <c r="ED187" s="45" t="s">
        <v>216</v>
      </c>
      <c r="EE187" s="46">
        <v>1</v>
      </c>
      <c r="EF187" s="47" t="s">
        <v>217</v>
      </c>
    </row>
    <row r="188" spans="1:136" ht="15" customHeight="1" x14ac:dyDescent="0.25">
      <c r="A188" s="16" t="s">
        <v>1142</v>
      </c>
      <c r="B188" s="29" t="s">
        <v>409</v>
      </c>
      <c r="C188" s="29" t="s">
        <v>1143</v>
      </c>
      <c r="D188" s="30">
        <v>38.5</v>
      </c>
      <c r="E188" s="30">
        <v>0.7</v>
      </c>
      <c r="F188" s="30">
        <v>0</v>
      </c>
      <c r="G188" s="30">
        <v>7.7</v>
      </c>
      <c r="H188" s="30">
        <v>1.6</v>
      </c>
      <c r="I188" s="30">
        <v>5</v>
      </c>
      <c r="J188" s="30">
        <v>0.18</v>
      </c>
      <c r="K188" s="30">
        <v>8</v>
      </c>
      <c r="L188" s="30">
        <v>22</v>
      </c>
      <c r="M188" s="30">
        <v>200</v>
      </c>
      <c r="N188" s="30">
        <v>0</v>
      </c>
      <c r="O188" s="30">
        <v>0.11</v>
      </c>
      <c r="P188" s="30">
        <v>7.4999999999999997E-2</v>
      </c>
      <c r="Q188" s="30">
        <v>7.3999999999999996E-2</v>
      </c>
      <c r="R188" s="30">
        <v>0</v>
      </c>
      <c r="S188" s="30">
        <v>14</v>
      </c>
      <c r="T188" s="30">
        <v>0.45</v>
      </c>
      <c r="U188" s="30">
        <v>2</v>
      </c>
      <c r="V188" s="30">
        <v>0</v>
      </c>
      <c r="W188" s="30">
        <v>0.02</v>
      </c>
      <c r="X188" s="30">
        <v>0.2</v>
      </c>
      <c r="Y188" s="30">
        <v>0.01</v>
      </c>
      <c r="Z188" s="30">
        <v>0</v>
      </c>
      <c r="AA188" s="30">
        <v>0</v>
      </c>
      <c r="AB188" s="31">
        <v>1796</v>
      </c>
      <c r="AC188" s="31" t="s">
        <v>1144</v>
      </c>
      <c r="AD188" s="31" t="s">
        <v>1145</v>
      </c>
      <c r="AE188" s="31" t="s">
        <v>413</v>
      </c>
      <c r="AF188" s="31" t="s">
        <v>1146</v>
      </c>
      <c r="AG188" s="31" t="s">
        <v>1147</v>
      </c>
      <c r="AH188" s="31" t="s">
        <v>1148</v>
      </c>
      <c r="AI188" s="31" t="s">
        <v>155</v>
      </c>
      <c r="AJ188" s="31" t="s">
        <v>621</v>
      </c>
      <c r="AK188" s="31" t="s">
        <v>157</v>
      </c>
      <c r="AL188" s="31" t="s">
        <v>314</v>
      </c>
      <c r="AM188" s="31"/>
      <c r="AN188" s="31" t="s">
        <v>622</v>
      </c>
      <c r="AO188" s="31" t="s">
        <v>803</v>
      </c>
      <c r="AP188" s="31" t="s">
        <v>419</v>
      </c>
      <c r="AQ188" s="31" t="s">
        <v>162</v>
      </c>
      <c r="AR188" s="31">
        <v>20</v>
      </c>
      <c r="AS188" s="31">
        <v>33</v>
      </c>
      <c r="AT188" s="31">
        <v>7</v>
      </c>
      <c r="AU188" s="31">
        <v>35</v>
      </c>
      <c r="AV188" s="31">
        <v>900</v>
      </c>
      <c r="AW188" s="31">
        <v>1100</v>
      </c>
      <c r="AX188" s="31">
        <v>750</v>
      </c>
      <c r="AY188" s="31">
        <v>1600</v>
      </c>
      <c r="AZ188" s="31">
        <v>5.5</v>
      </c>
      <c r="BA188" s="31">
        <v>6.3</v>
      </c>
      <c r="BB188" s="31">
        <v>4.5</v>
      </c>
      <c r="BC188" s="31">
        <v>7.5</v>
      </c>
      <c r="BD188" s="31">
        <v>30</v>
      </c>
      <c r="BE188" s="31">
        <v>30</v>
      </c>
      <c r="BF188" s="31">
        <v>50</v>
      </c>
      <c r="BG188" s="31">
        <v>50</v>
      </c>
      <c r="BH188" s="31">
        <v>1000</v>
      </c>
      <c r="BI188" s="31" t="s">
        <v>163</v>
      </c>
      <c r="BJ188" s="31" t="s">
        <v>163</v>
      </c>
      <c r="BK188" s="31" t="s">
        <v>163</v>
      </c>
      <c r="BL188" s="31" t="s">
        <v>165</v>
      </c>
      <c r="BM188" s="31" t="s">
        <v>288</v>
      </c>
      <c r="BN188" s="31" t="s">
        <v>166</v>
      </c>
      <c r="BO188" s="60" t="s">
        <v>250</v>
      </c>
      <c r="BP188" s="60" t="s">
        <v>203</v>
      </c>
      <c r="BQ188" s="60" t="s">
        <v>169</v>
      </c>
      <c r="BR188" s="60" t="s">
        <v>170</v>
      </c>
      <c r="BS188" s="60"/>
      <c r="BT188" s="60"/>
      <c r="BU188" s="60" t="s">
        <v>171</v>
      </c>
      <c r="BV188" s="60" t="s">
        <v>171</v>
      </c>
      <c r="BW188" s="60" t="s">
        <v>172</v>
      </c>
      <c r="BX188" s="60" t="s">
        <v>172</v>
      </c>
      <c r="BY188" s="60">
        <v>-5</v>
      </c>
      <c r="BZ188" s="60">
        <v>-5</v>
      </c>
      <c r="CA188" s="60" t="s">
        <v>173</v>
      </c>
      <c r="CB188" s="60" t="s">
        <v>1149</v>
      </c>
      <c r="CC188" s="60"/>
      <c r="CD188" s="60"/>
      <c r="CE188" s="60"/>
      <c r="CF188" s="60" t="s">
        <v>175</v>
      </c>
      <c r="CG188" s="60">
        <v>240</v>
      </c>
      <c r="CH188" s="60">
        <v>270</v>
      </c>
      <c r="CI188" s="32">
        <v>3</v>
      </c>
      <c r="CJ188" s="32">
        <v>7</v>
      </c>
      <c r="CK188" s="32">
        <v>3</v>
      </c>
      <c r="CL188" s="32">
        <v>7</v>
      </c>
      <c r="CM188" s="33" t="s">
        <v>868</v>
      </c>
      <c r="CN188" s="34">
        <v>5</v>
      </c>
      <c r="CO188" s="34">
        <v>30</v>
      </c>
      <c r="CP188" s="35" t="s">
        <v>1150</v>
      </c>
      <c r="CQ188" s="35" t="s">
        <v>209</v>
      </c>
      <c r="CR188" s="36">
        <v>0</v>
      </c>
      <c r="CS188" s="36">
        <v>0</v>
      </c>
      <c r="CT188" s="36">
        <v>6</v>
      </c>
      <c r="CU188" s="36">
        <v>3</v>
      </c>
      <c r="CV188" s="36">
        <v>8</v>
      </c>
      <c r="CW188" s="36">
        <v>20</v>
      </c>
      <c r="CX188" s="36">
        <v>5</v>
      </c>
      <c r="CY188" s="36">
        <v>30</v>
      </c>
      <c r="CZ188" s="36">
        <v>8</v>
      </c>
      <c r="DA188" s="37">
        <v>0</v>
      </c>
      <c r="DB188" s="37">
        <v>0</v>
      </c>
      <c r="DC188" s="37">
        <v>60</v>
      </c>
      <c r="DD188" s="37">
        <v>20</v>
      </c>
      <c r="DE188" s="37">
        <v>50</v>
      </c>
      <c r="DF188" s="37">
        <v>150</v>
      </c>
      <c r="DG188" s="37">
        <v>30</v>
      </c>
      <c r="DH188" s="37">
        <v>450</v>
      </c>
      <c r="DI188" s="37">
        <v>80</v>
      </c>
      <c r="DJ188" s="38" t="s">
        <v>1151</v>
      </c>
      <c r="DK188" s="39" t="s">
        <v>409</v>
      </c>
      <c r="DL188" s="40">
        <v>150</v>
      </c>
      <c r="DM188" s="39" t="s">
        <v>1152</v>
      </c>
      <c r="DN188" s="25" t="s">
        <v>183</v>
      </c>
      <c r="DO188" s="24" t="s">
        <v>182</v>
      </c>
      <c r="DP188" s="41"/>
      <c r="DQ188" s="41"/>
      <c r="DR188" s="41"/>
      <c r="DS188" s="41"/>
      <c r="DT188" s="41"/>
      <c r="DU188" s="41"/>
      <c r="DV188" s="41"/>
      <c r="DW188" s="41"/>
      <c r="DX188" s="24" t="s">
        <v>182</v>
      </c>
      <c r="DY188" s="25" t="s">
        <v>183</v>
      </c>
      <c r="DZ188" s="42" t="s">
        <v>1153</v>
      </c>
      <c r="EA188" s="42" t="s">
        <v>1154</v>
      </c>
      <c r="EB188" s="52" t="s">
        <v>301</v>
      </c>
      <c r="EC188" s="44" t="s">
        <v>1097</v>
      </c>
      <c r="ED188" s="45" t="s">
        <v>496</v>
      </c>
      <c r="EE188" s="46">
        <v>6</v>
      </c>
      <c r="EF188" s="47" t="s">
        <v>217</v>
      </c>
    </row>
    <row r="189" spans="1:136" ht="15" customHeight="1" x14ac:dyDescent="0.25">
      <c r="A189" s="16" t="s">
        <v>1260</v>
      </c>
      <c r="B189" s="17" t="s">
        <v>409</v>
      </c>
      <c r="C189" s="17" t="s">
        <v>1261</v>
      </c>
      <c r="D189" s="18">
        <v>34.4</v>
      </c>
      <c r="E189" s="18">
        <v>1.2</v>
      </c>
      <c r="F189" s="18">
        <v>0</v>
      </c>
      <c r="G189" s="18">
        <v>6.7</v>
      </c>
      <c r="H189" s="18">
        <v>1.9</v>
      </c>
      <c r="I189" s="18">
        <v>15</v>
      </c>
      <c r="J189" s="18">
        <v>0.24</v>
      </c>
      <c r="K189" s="18">
        <v>13</v>
      </c>
      <c r="L189" s="18">
        <v>34</v>
      </c>
      <c r="M189" s="18">
        <v>335</v>
      </c>
      <c r="N189" s="18">
        <v>0</v>
      </c>
      <c r="O189" s="18">
        <v>0.14000000000000001</v>
      </c>
      <c r="P189" s="18">
        <v>5.8999999999999997E-2</v>
      </c>
      <c r="Q189" s="18">
        <v>0.06</v>
      </c>
      <c r="R189" s="18">
        <v>0</v>
      </c>
      <c r="S189" s="18">
        <v>220</v>
      </c>
      <c r="T189" s="18">
        <v>0.3</v>
      </c>
      <c r="U189" s="18">
        <v>8</v>
      </c>
      <c r="V189" s="18">
        <v>0.05</v>
      </c>
      <c r="W189" s="18">
        <v>0.05</v>
      </c>
      <c r="X189" s="18">
        <v>0</v>
      </c>
      <c r="Y189" s="18">
        <v>0</v>
      </c>
      <c r="Z189" s="18">
        <v>0</v>
      </c>
      <c r="AA189" s="18">
        <v>31</v>
      </c>
      <c r="AB189" s="18">
        <v>819</v>
      </c>
      <c r="AC189" s="18" t="s">
        <v>1262</v>
      </c>
      <c r="AD189" s="18" t="s">
        <v>1263</v>
      </c>
      <c r="AE189" s="18" t="s">
        <v>501</v>
      </c>
      <c r="AF189" s="18"/>
      <c r="AG189" s="18" t="s">
        <v>1264</v>
      </c>
      <c r="AH189" s="18" t="s">
        <v>1265</v>
      </c>
      <c r="AI189" s="18" t="s">
        <v>155</v>
      </c>
      <c r="AJ189" s="18" t="s">
        <v>670</v>
      </c>
      <c r="AK189" s="18" t="s">
        <v>505</v>
      </c>
      <c r="AL189" s="18" t="s">
        <v>282</v>
      </c>
      <c r="AM189" s="18" t="s">
        <v>283</v>
      </c>
      <c r="AN189" s="18"/>
      <c r="AO189" s="18" t="s">
        <v>285</v>
      </c>
      <c r="AP189" s="18" t="s">
        <v>286</v>
      </c>
      <c r="AQ189" s="18" t="s">
        <v>162</v>
      </c>
      <c r="AR189" s="18">
        <v>20</v>
      </c>
      <c r="AS189" s="18">
        <v>30</v>
      </c>
      <c r="AT189" s="18">
        <v>9</v>
      </c>
      <c r="AU189" s="18">
        <v>38</v>
      </c>
      <c r="AV189" s="18">
        <v>600</v>
      </c>
      <c r="AW189" s="18">
        <v>1000</v>
      </c>
      <c r="AX189" s="18">
        <v>450</v>
      </c>
      <c r="AY189" s="18">
        <v>2700</v>
      </c>
      <c r="AZ189" s="18">
        <v>5.5</v>
      </c>
      <c r="BA189" s="18">
        <v>7.5</v>
      </c>
      <c r="BB189" s="18">
        <v>5</v>
      </c>
      <c r="BC189" s="18">
        <v>8.5</v>
      </c>
      <c r="BD189" s="18">
        <v>10</v>
      </c>
      <c r="BE189" s="18"/>
      <c r="BF189" s="18">
        <v>20</v>
      </c>
      <c r="BG189" s="18">
        <v>50</v>
      </c>
      <c r="BH189" s="18">
        <v>2000</v>
      </c>
      <c r="BI189" s="18" t="s">
        <v>163</v>
      </c>
      <c r="BJ189" s="18" t="s">
        <v>163</v>
      </c>
      <c r="BK189" s="18" t="s">
        <v>163</v>
      </c>
      <c r="BL189" s="18" t="s">
        <v>165</v>
      </c>
      <c r="BM189" s="18" t="s">
        <v>288</v>
      </c>
      <c r="BN189" s="18" t="s">
        <v>201</v>
      </c>
      <c r="BO189" s="59" t="s">
        <v>567</v>
      </c>
      <c r="BP189" s="59" t="s">
        <v>203</v>
      </c>
      <c r="BQ189" s="59" t="s">
        <v>169</v>
      </c>
      <c r="BR189" s="59" t="s">
        <v>230</v>
      </c>
      <c r="BS189" s="59"/>
      <c r="BT189" s="59"/>
      <c r="BU189" s="59" t="s">
        <v>171</v>
      </c>
      <c r="BV189" s="59" t="s">
        <v>171</v>
      </c>
      <c r="BW189" s="59" t="s">
        <v>172</v>
      </c>
      <c r="BX189" s="59" t="s">
        <v>172</v>
      </c>
      <c r="BY189" s="59"/>
      <c r="BZ189" s="59"/>
      <c r="CA189" s="59" t="s">
        <v>173</v>
      </c>
      <c r="CB189" s="59" t="s">
        <v>232</v>
      </c>
      <c r="CC189" s="59"/>
      <c r="CD189" s="59"/>
      <c r="CE189" s="59"/>
      <c r="CF189" s="59" t="s">
        <v>206</v>
      </c>
      <c r="CG189" s="59">
        <v>80</v>
      </c>
      <c r="CH189" s="59">
        <v>140</v>
      </c>
      <c r="CI189" s="19">
        <v>0.3</v>
      </c>
      <c r="CJ189" s="19">
        <v>0.6</v>
      </c>
      <c r="CK189" s="19">
        <v>3</v>
      </c>
      <c r="CL189" s="19">
        <v>8</v>
      </c>
      <c r="CM189" s="17" t="s">
        <v>1266</v>
      </c>
      <c r="CN189" s="20">
        <v>10</v>
      </c>
      <c r="CO189" s="20">
        <v>50</v>
      </c>
      <c r="CP189" s="17" t="s">
        <v>1267</v>
      </c>
      <c r="CQ189" s="17" t="s">
        <v>209</v>
      </c>
      <c r="CR189" s="21">
        <v>4</v>
      </c>
      <c r="CS189" s="21">
        <v>3</v>
      </c>
      <c r="CT189" s="21">
        <v>5</v>
      </c>
      <c r="CU189" s="21">
        <v>3</v>
      </c>
      <c r="CV189" s="21">
        <v>4</v>
      </c>
      <c r="CW189" s="21">
        <v>2</v>
      </c>
      <c r="CX189" s="21">
        <v>4</v>
      </c>
      <c r="CY189" s="21">
        <v>8</v>
      </c>
      <c r="CZ189" s="21">
        <v>5</v>
      </c>
      <c r="DA189" s="21">
        <v>130</v>
      </c>
      <c r="DB189" s="21">
        <v>80</v>
      </c>
      <c r="DC189" s="21">
        <v>160</v>
      </c>
      <c r="DD189" s="21">
        <v>25</v>
      </c>
      <c r="DE189" s="21">
        <v>35</v>
      </c>
      <c r="DF189" s="21">
        <v>20</v>
      </c>
      <c r="DG189" s="21">
        <v>40</v>
      </c>
      <c r="DH189" s="21">
        <v>250</v>
      </c>
      <c r="DI189" s="21">
        <v>80</v>
      </c>
      <c r="DJ189" s="17" t="s">
        <v>1268</v>
      </c>
      <c r="DK189" s="17" t="s">
        <v>180</v>
      </c>
      <c r="DL189" s="22">
        <v>75</v>
      </c>
      <c r="DM189" s="17" t="s">
        <v>1269</v>
      </c>
      <c r="DN189" s="23"/>
      <c r="DO189" s="24" t="s">
        <v>182</v>
      </c>
      <c r="DP189" s="25" t="s">
        <v>183</v>
      </c>
      <c r="DQ189" s="25" t="s">
        <v>183</v>
      </c>
      <c r="DR189" s="25" t="s">
        <v>183</v>
      </c>
      <c r="DS189" s="24" t="s">
        <v>182</v>
      </c>
      <c r="DT189" s="23"/>
      <c r="DU189" s="23"/>
      <c r="DV189" s="23"/>
      <c r="DW189" s="23"/>
      <c r="DX189" s="23"/>
      <c r="DY189" s="23"/>
      <c r="DZ189" s="17" t="s">
        <v>1270</v>
      </c>
      <c r="EA189" s="17" t="s">
        <v>1271</v>
      </c>
      <c r="EB189" s="48" t="s">
        <v>239</v>
      </c>
      <c r="EC189" s="17" t="s">
        <v>1272</v>
      </c>
      <c r="ED189" s="27" t="s">
        <v>1273</v>
      </c>
      <c r="EE189" s="22">
        <v>1</v>
      </c>
      <c r="EF189" s="49" t="s">
        <v>242</v>
      </c>
    </row>
    <row r="190" spans="1:136" ht="15" customHeight="1" x14ac:dyDescent="0.25">
      <c r="A190" s="16" t="s">
        <v>953</v>
      </c>
      <c r="B190" s="17" t="s">
        <v>409</v>
      </c>
      <c r="C190" s="17" t="s">
        <v>954</v>
      </c>
      <c r="D190" s="18">
        <v>60</v>
      </c>
      <c r="E190" s="18">
        <v>1.31</v>
      </c>
      <c r="F190" s="18">
        <v>15.14</v>
      </c>
      <c r="G190" s="18">
        <v>1.1000000000000001</v>
      </c>
      <c r="H190" s="18">
        <v>0.1</v>
      </c>
      <c r="I190" s="18">
        <v>1</v>
      </c>
      <c r="J190" s="18">
        <v>0.13</v>
      </c>
      <c r="K190" s="18">
        <v>10</v>
      </c>
      <c r="L190" s="18">
        <v>21</v>
      </c>
      <c r="M190" s="18">
        <v>266</v>
      </c>
      <c r="N190" s="18">
        <v>0</v>
      </c>
      <c r="O190" s="18">
        <v>0.05</v>
      </c>
      <c r="P190" s="18">
        <v>0.16900000000000001</v>
      </c>
      <c r="Q190" s="18">
        <v>5.1999999999999998E-2</v>
      </c>
      <c r="R190" s="18">
        <v>0</v>
      </c>
      <c r="S190" s="18">
        <v>0</v>
      </c>
      <c r="T190" s="18">
        <v>0</v>
      </c>
      <c r="U190" s="18">
        <v>84</v>
      </c>
      <c r="V190" s="18">
        <v>3.1E-2</v>
      </c>
      <c r="W190" s="18">
        <v>0.14000000000000001</v>
      </c>
      <c r="X190" s="18">
        <v>0.3</v>
      </c>
      <c r="Y190" s="18">
        <v>0</v>
      </c>
      <c r="Z190" s="18">
        <v>0</v>
      </c>
      <c r="AA190" s="18">
        <v>0</v>
      </c>
      <c r="AB190" s="18">
        <v>5349</v>
      </c>
      <c r="AC190" s="18" t="s">
        <v>955</v>
      </c>
      <c r="AD190" s="18" t="s">
        <v>956</v>
      </c>
      <c r="AE190" s="18" t="s">
        <v>957</v>
      </c>
      <c r="AF190" s="18" t="s">
        <v>958</v>
      </c>
      <c r="AG190" s="18" t="s">
        <v>959</v>
      </c>
      <c r="AH190" s="18" t="s">
        <v>960</v>
      </c>
      <c r="AI190" s="18" t="s">
        <v>226</v>
      </c>
      <c r="AJ190" s="18" t="s">
        <v>621</v>
      </c>
      <c r="AK190" s="18" t="s">
        <v>157</v>
      </c>
      <c r="AL190" s="18" t="s">
        <v>314</v>
      </c>
      <c r="AM190" s="18">
        <v>0</v>
      </c>
      <c r="AN190" s="18" t="s">
        <v>961</v>
      </c>
      <c r="AO190" s="18" t="s">
        <v>962</v>
      </c>
      <c r="AP190" s="18" t="s">
        <v>419</v>
      </c>
      <c r="AQ190" s="18" t="s">
        <v>362</v>
      </c>
      <c r="AR190" s="18">
        <v>18</v>
      </c>
      <c r="AS190" s="18">
        <v>30</v>
      </c>
      <c r="AT190" s="18">
        <v>7</v>
      </c>
      <c r="AU190" s="18">
        <v>36</v>
      </c>
      <c r="AV190" s="18">
        <v>1300</v>
      </c>
      <c r="AW190" s="18">
        <v>2000</v>
      </c>
      <c r="AX190" s="18">
        <v>800</v>
      </c>
      <c r="AY190" s="18">
        <v>3000</v>
      </c>
      <c r="AZ190" s="18">
        <v>5.5</v>
      </c>
      <c r="BA190" s="18">
        <v>6</v>
      </c>
      <c r="BB190" s="18">
        <v>5</v>
      </c>
      <c r="BC190" s="18">
        <v>8</v>
      </c>
      <c r="BD190" s="18">
        <v>0</v>
      </c>
      <c r="BE190" s="18">
        <v>0</v>
      </c>
      <c r="BF190" s="18">
        <v>15</v>
      </c>
      <c r="BG190" s="18">
        <v>20</v>
      </c>
      <c r="BH190" s="18">
        <v>1500</v>
      </c>
      <c r="BI190" s="18" t="s">
        <v>163</v>
      </c>
      <c r="BJ190" s="18" t="s">
        <v>165</v>
      </c>
      <c r="BK190" s="18" t="s">
        <v>163</v>
      </c>
      <c r="BL190" s="18" t="s">
        <v>317</v>
      </c>
      <c r="BM190" s="18" t="s">
        <v>288</v>
      </c>
      <c r="BN190" s="18" t="s">
        <v>201</v>
      </c>
      <c r="BO190" t="s">
        <v>250</v>
      </c>
      <c r="BP190" t="s">
        <v>203</v>
      </c>
      <c r="BQ190" t="s">
        <v>169</v>
      </c>
      <c r="BR190" t="s">
        <v>170</v>
      </c>
      <c r="BS190">
        <v>0</v>
      </c>
      <c r="BT190">
        <v>0</v>
      </c>
      <c r="BU190" t="s">
        <v>171</v>
      </c>
      <c r="BV190" t="s">
        <v>171</v>
      </c>
      <c r="BW190" t="s">
        <v>172</v>
      </c>
      <c r="BX190" t="s">
        <v>318</v>
      </c>
      <c r="BY190">
        <v>0</v>
      </c>
      <c r="BZ190">
        <v>0</v>
      </c>
      <c r="CA190" t="s">
        <v>173</v>
      </c>
      <c r="CB190" t="s">
        <v>963</v>
      </c>
      <c r="CC190">
        <v>0</v>
      </c>
      <c r="CD190" t="s">
        <v>964</v>
      </c>
      <c r="CE190">
        <v>0</v>
      </c>
      <c r="CF190" t="s">
        <v>777</v>
      </c>
      <c r="CG190">
        <v>210</v>
      </c>
      <c r="CH190">
        <v>365</v>
      </c>
      <c r="CI190" s="19">
        <v>10</v>
      </c>
      <c r="CJ190" s="19">
        <v>20</v>
      </c>
      <c r="CK190" s="19">
        <v>8</v>
      </c>
      <c r="CL190" s="19">
        <v>15</v>
      </c>
      <c r="CM190" s="17" t="s">
        <v>568</v>
      </c>
      <c r="CN190" s="20">
        <v>5</v>
      </c>
      <c r="CO190" s="20">
        <v>25</v>
      </c>
      <c r="CP190" s="17" t="s">
        <v>965</v>
      </c>
      <c r="CQ190" s="17" t="s">
        <v>209</v>
      </c>
      <c r="CR190" s="21">
        <v>0</v>
      </c>
      <c r="CS190" s="21">
        <v>0</v>
      </c>
      <c r="CT190" s="21">
        <v>6</v>
      </c>
      <c r="CU190" s="21">
        <v>4</v>
      </c>
      <c r="CV190" s="21">
        <v>6</v>
      </c>
      <c r="CW190" s="21">
        <v>15</v>
      </c>
      <c r="CX190" s="21">
        <v>5</v>
      </c>
      <c r="CY190" s="21">
        <v>25</v>
      </c>
      <c r="CZ190" s="21">
        <v>10</v>
      </c>
      <c r="DA190" s="21">
        <v>0</v>
      </c>
      <c r="DB190" s="21">
        <v>0</v>
      </c>
      <c r="DC190" s="21">
        <v>50</v>
      </c>
      <c r="DD190" s="21">
        <v>25</v>
      </c>
      <c r="DE190" s="21">
        <v>40</v>
      </c>
      <c r="DF190" s="21">
        <v>120</v>
      </c>
      <c r="DG190" s="21">
        <v>35</v>
      </c>
      <c r="DH190" s="21">
        <v>400</v>
      </c>
      <c r="DI190" s="21">
        <v>100</v>
      </c>
      <c r="DJ190" s="17" t="s">
        <v>966</v>
      </c>
      <c r="DK190" s="17" t="s">
        <v>409</v>
      </c>
      <c r="DL190" s="22">
        <v>150</v>
      </c>
      <c r="DM190" s="17" t="s">
        <v>967</v>
      </c>
      <c r="DN190" s="25" t="s">
        <v>183</v>
      </c>
      <c r="DO190" s="25" t="s">
        <v>183</v>
      </c>
      <c r="DP190" s="25" t="s">
        <v>183</v>
      </c>
      <c r="DQ190" s="24" t="s">
        <v>182</v>
      </c>
      <c r="DR190" s="23"/>
      <c r="DS190" s="23"/>
      <c r="DT190" s="23"/>
      <c r="DU190" s="23"/>
      <c r="DV190" s="23"/>
      <c r="DW190" s="23"/>
      <c r="DX190" s="23"/>
      <c r="DY190" s="24" t="s">
        <v>182</v>
      </c>
      <c r="DZ190" s="17" t="s">
        <v>968</v>
      </c>
      <c r="EA190" s="17" t="s">
        <v>969</v>
      </c>
      <c r="EB190" s="43" t="s">
        <v>214</v>
      </c>
      <c r="EC190" s="17" t="s">
        <v>970</v>
      </c>
      <c r="ED190" s="27" t="s">
        <v>216</v>
      </c>
      <c r="EE190" s="22">
        <v>4</v>
      </c>
      <c r="EF190" s="54" t="s">
        <v>217</v>
      </c>
    </row>
    <row r="191" spans="1:136" ht="15" customHeight="1" x14ac:dyDescent="0.25">
      <c r="A191" s="16" t="s">
        <v>607</v>
      </c>
      <c r="B191" s="17" t="s">
        <v>409</v>
      </c>
      <c r="C191" s="17" t="s">
        <v>607</v>
      </c>
      <c r="D191" s="18">
        <v>62</v>
      </c>
      <c r="E191" s="18">
        <v>0.5</v>
      </c>
      <c r="F191" s="18">
        <v>13.63</v>
      </c>
      <c r="G191" s="18">
        <v>0</v>
      </c>
      <c r="H191" s="18">
        <v>1.3</v>
      </c>
      <c r="I191" s="18">
        <v>11</v>
      </c>
      <c r="J191" s="18">
        <v>1.31</v>
      </c>
      <c r="K191" s="18">
        <v>16</v>
      </c>
      <c r="L191" s="18">
        <v>7</v>
      </c>
      <c r="M191" s="18">
        <v>260</v>
      </c>
      <c r="N191" s="18">
        <v>3</v>
      </c>
      <c r="O191" s="18">
        <v>0</v>
      </c>
      <c r="P191" s="18">
        <v>0.21</v>
      </c>
      <c r="Q191" s="18">
        <v>0</v>
      </c>
      <c r="R191" s="18">
        <v>0</v>
      </c>
      <c r="S191" s="18">
        <v>40</v>
      </c>
      <c r="T191" s="18">
        <v>0</v>
      </c>
      <c r="U191" s="18">
        <v>38</v>
      </c>
      <c r="V191" s="18">
        <v>0.04</v>
      </c>
      <c r="W191" s="18">
        <v>0.06</v>
      </c>
      <c r="X191" s="18">
        <v>0.2</v>
      </c>
      <c r="Y191" s="18">
        <v>0</v>
      </c>
      <c r="Z191" s="18">
        <v>0</v>
      </c>
      <c r="AA191" s="18">
        <v>0</v>
      </c>
      <c r="AB191" s="18">
        <v>0</v>
      </c>
      <c r="AC191" s="18">
        <v>0</v>
      </c>
      <c r="AD191" s="18">
        <v>0</v>
      </c>
      <c r="AE191" s="18">
        <v>0</v>
      </c>
      <c r="AF191" s="18">
        <v>0</v>
      </c>
      <c r="AG191" s="18">
        <v>0</v>
      </c>
      <c r="AH191" s="18">
        <v>0</v>
      </c>
      <c r="AI191" s="18">
        <v>0</v>
      </c>
      <c r="AJ191" s="18">
        <v>0</v>
      </c>
      <c r="AK191" s="18">
        <v>0</v>
      </c>
      <c r="AL191" s="18">
        <v>0</v>
      </c>
      <c r="AM191" s="18">
        <v>0</v>
      </c>
      <c r="AN191" s="18">
        <v>0</v>
      </c>
      <c r="AO191" s="18">
        <v>0</v>
      </c>
      <c r="AP191" s="18">
        <v>0</v>
      </c>
      <c r="AQ191" s="18">
        <v>0</v>
      </c>
      <c r="AR191" s="18">
        <v>0</v>
      </c>
      <c r="AS191" s="18">
        <v>0</v>
      </c>
      <c r="AT191" s="18">
        <v>0</v>
      </c>
      <c r="AU191" s="18">
        <v>0</v>
      </c>
      <c r="AV191" s="18">
        <v>0</v>
      </c>
      <c r="AW191" s="18">
        <v>0</v>
      </c>
      <c r="AX191" s="18">
        <v>0</v>
      </c>
      <c r="AY191" s="18">
        <v>0</v>
      </c>
      <c r="AZ191" s="18">
        <v>0</v>
      </c>
      <c r="BA191" s="18">
        <v>0</v>
      </c>
      <c r="BB191" s="18">
        <v>0</v>
      </c>
      <c r="BC191" s="18">
        <v>0</v>
      </c>
      <c r="BD191" s="18">
        <v>0</v>
      </c>
      <c r="BE191" s="18">
        <v>0</v>
      </c>
      <c r="BF191" s="18">
        <v>0</v>
      </c>
      <c r="BG191" s="18">
        <v>0</v>
      </c>
      <c r="BH191" s="18">
        <v>0</v>
      </c>
      <c r="BI191" s="18">
        <v>0</v>
      </c>
      <c r="BJ191" s="18">
        <v>0</v>
      </c>
      <c r="BK191" s="18">
        <v>0</v>
      </c>
      <c r="BL191" s="18">
        <v>0</v>
      </c>
      <c r="BM191" s="18">
        <v>0</v>
      </c>
      <c r="BN191" s="18">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s="32">
        <v>1</v>
      </c>
      <c r="CJ191" s="32">
        <v>3</v>
      </c>
      <c r="CK191" s="32">
        <v>1</v>
      </c>
      <c r="CL191" s="32">
        <v>3</v>
      </c>
      <c r="CM191" s="33" t="s">
        <v>608</v>
      </c>
      <c r="CN191" s="34">
        <v>3</v>
      </c>
      <c r="CO191" s="34">
        <v>10</v>
      </c>
      <c r="CP191" s="35" t="s">
        <v>609</v>
      </c>
      <c r="CQ191" s="35" t="s">
        <v>375</v>
      </c>
      <c r="CR191" s="36">
        <v>0</v>
      </c>
      <c r="CS191" s="36">
        <v>0</v>
      </c>
      <c r="CT191" s="36">
        <v>4</v>
      </c>
      <c r="CU191" s="36">
        <v>2</v>
      </c>
      <c r="CV191" s="36">
        <v>3</v>
      </c>
      <c r="CW191" s="36">
        <v>5</v>
      </c>
      <c r="CX191" s="36">
        <v>3</v>
      </c>
      <c r="CY191" s="36">
        <v>15</v>
      </c>
      <c r="CZ191" s="36">
        <v>5</v>
      </c>
      <c r="DA191" s="37">
        <v>0</v>
      </c>
      <c r="DB191" s="37">
        <v>0</v>
      </c>
      <c r="DC191" s="37">
        <v>30</v>
      </c>
      <c r="DD191" s="37">
        <v>15</v>
      </c>
      <c r="DE191" s="37">
        <v>20</v>
      </c>
      <c r="DF191" s="37">
        <v>40</v>
      </c>
      <c r="DG191" s="37">
        <v>20</v>
      </c>
      <c r="DH191" s="37">
        <v>300</v>
      </c>
      <c r="DI191" s="37">
        <v>50</v>
      </c>
      <c r="DJ191" s="38" t="s">
        <v>610</v>
      </c>
      <c r="DK191" s="39" t="s">
        <v>409</v>
      </c>
      <c r="DL191" s="40">
        <v>150</v>
      </c>
      <c r="DM191" s="39" t="s">
        <v>611</v>
      </c>
      <c r="DN191" s="24" t="s">
        <v>182</v>
      </c>
      <c r="DO191" s="25" t="s">
        <v>183</v>
      </c>
      <c r="DP191" s="25" t="s">
        <v>183</v>
      </c>
      <c r="DQ191" s="25" t="s">
        <v>183</v>
      </c>
      <c r="DR191" s="24" t="s">
        <v>182</v>
      </c>
      <c r="DS191" s="41"/>
      <c r="DT191" s="41"/>
      <c r="DU191" s="41"/>
      <c r="DV191" s="41"/>
      <c r="DW191" s="41"/>
      <c r="DX191" s="41"/>
      <c r="DY191" s="41"/>
      <c r="DZ191" s="42" t="s">
        <v>612</v>
      </c>
      <c r="EA191" s="42" t="s">
        <v>613</v>
      </c>
      <c r="EB191" s="43" t="s">
        <v>214</v>
      </c>
      <c r="EC191" s="44" t="s">
        <v>614</v>
      </c>
      <c r="ED191" s="45" t="s">
        <v>216</v>
      </c>
      <c r="EE191" s="46">
        <v>5</v>
      </c>
      <c r="EF191" s="47" t="s">
        <v>304</v>
      </c>
    </row>
    <row r="192" spans="1:136" ht="15" customHeight="1" x14ac:dyDescent="0.25">
      <c r="A192" s="16" t="s">
        <v>1090</v>
      </c>
      <c r="B192" s="29" t="s">
        <v>409</v>
      </c>
      <c r="C192" s="29" t="s">
        <v>1091</v>
      </c>
      <c r="D192" s="30">
        <v>38.5</v>
      </c>
      <c r="E192" s="30">
        <v>0.8</v>
      </c>
      <c r="F192" s="30">
        <v>0</v>
      </c>
      <c r="G192" s="30">
        <v>7.9</v>
      </c>
      <c r="H192" s="30">
        <v>1.6</v>
      </c>
      <c r="I192" s="30">
        <v>5</v>
      </c>
      <c r="J192" s="30">
        <v>0.16</v>
      </c>
      <c r="K192" s="30">
        <v>9</v>
      </c>
      <c r="L192" s="30">
        <v>24</v>
      </c>
      <c r="M192" s="30">
        <v>220</v>
      </c>
      <c r="N192" s="30">
        <v>0</v>
      </c>
      <c r="O192" s="30">
        <v>0.12</v>
      </c>
      <c r="P192" s="30">
        <v>7.1999999999999995E-2</v>
      </c>
      <c r="Q192" s="30">
        <v>7.9000000000000001E-2</v>
      </c>
      <c r="R192" s="30">
        <v>0</v>
      </c>
      <c r="S192" s="30">
        <v>8</v>
      </c>
      <c r="T192" s="30">
        <v>0.5</v>
      </c>
      <c r="U192" s="30">
        <v>1</v>
      </c>
      <c r="V192" s="30">
        <v>0</v>
      </c>
      <c r="W192" s="30">
        <v>0.02</v>
      </c>
      <c r="X192" s="30">
        <v>0.2</v>
      </c>
      <c r="Y192" s="30">
        <v>0</v>
      </c>
      <c r="Z192" s="30">
        <v>0</v>
      </c>
      <c r="AA192" s="30">
        <v>0</v>
      </c>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60"/>
      <c r="BP192" s="60"/>
      <c r="BQ192" s="60"/>
      <c r="BR192" s="60"/>
      <c r="BS192" s="60"/>
      <c r="BT192" s="60"/>
      <c r="BU192" s="60"/>
      <c r="BV192" s="60"/>
      <c r="BW192" s="60"/>
      <c r="BX192" s="60"/>
      <c r="BY192" s="60"/>
      <c r="BZ192" s="60"/>
      <c r="CA192" s="60"/>
      <c r="CB192" s="60"/>
      <c r="CC192" s="60"/>
      <c r="CD192" s="60"/>
      <c r="CE192" s="60"/>
      <c r="CF192" s="60"/>
      <c r="CG192" s="60"/>
      <c r="CH192" s="60"/>
      <c r="CI192" s="32">
        <v>3</v>
      </c>
      <c r="CJ192" s="32">
        <v>7</v>
      </c>
      <c r="CK192" s="32">
        <v>3</v>
      </c>
      <c r="CL192" s="32">
        <v>7</v>
      </c>
      <c r="CM192" s="33" t="s">
        <v>1092</v>
      </c>
      <c r="CN192" s="34">
        <v>5</v>
      </c>
      <c r="CO192" s="34">
        <v>25</v>
      </c>
      <c r="CP192" s="35" t="s">
        <v>1093</v>
      </c>
      <c r="CQ192" s="35" t="s">
        <v>209</v>
      </c>
      <c r="CR192" s="36">
        <v>0</v>
      </c>
      <c r="CS192" s="36">
        <v>0</v>
      </c>
      <c r="CT192" s="36">
        <v>6</v>
      </c>
      <c r="CU192" s="36">
        <v>3</v>
      </c>
      <c r="CV192" s="36">
        <v>8</v>
      </c>
      <c r="CW192" s="36">
        <v>20</v>
      </c>
      <c r="CX192" s="36">
        <v>5</v>
      </c>
      <c r="CY192" s="36">
        <v>30</v>
      </c>
      <c r="CZ192" s="36">
        <v>8</v>
      </c>
      <c r="DA192" s="37">
        <v>0</v>
      </c>
      <c r="DB192" s="37">
        <v>0</v>
      </c>
      <c r="DC192" s="37">
        <v>60</v>
      </c>
      <c r="DD192" s="37">
        <v>20</v>
      </c>
      <c r="DE192" s="37">
        <v>50</v>
      </c>
      <c r="DF192" s="37">
        <v>150</v>
      </c>
      <c r="DG192" s="37">
        <v>30</v>
      </c>
      <c r="DH192" s="37">
        <v>450</v>
      </c>
      <c r="DI192" s="37">
        <v>80</v>
      </c>
      <c r="DJ192" s="38" t="s">
        <v>1094</v>
      </c>
      <c r="DK192" s="39" t="s">
        <v>409</v>
      </c>
      <c r="DL192" s="40">
        <v>150</v>
      </c>
      <c r="DM192" s="39" t="s">
        <v>1095</v>
      </c>
      <c r="DN192" s="25" t="s">
        <v>183</v>
      </c>
      <c r="DO192" s="24" t="s">
        <v>182</v>
      </c>
      <c r="DP192" s="41"/>
      <c r="DQ192" s="41"/>
      <c r="DR192" s="41"/>
      <c r="DS192" s="41"/>
      <c r="DT192" s="41"/>
      <c r="DU192" s="41"/>
      <c r="DV192" s="41"/>
      <c r="DW192" s="41"/>
      <c r="DX192" s="24" t="s">
        <v>182</v>
      </c>
      <c r="DY192" s="25" t="s">
        <v>183</v>
      </c>
      <c r="DZ192" s="42" t="s">
        <v>1096</v>
      </c>
      <c r="EA192" s="42" t="s">
        <v>440</v>
      </c>
      <c r="EB192" s="52" t="s">
        <v>301</v>
      </c>
      <c r="EC192" s="44" t="s">
        <v>1097</v>
      </c>
      <c r="ED192" s="45" t="s">
        <v>496</v>
      </c>
      <c r="EE192" s="46">
        <v>6</v>
      </c>
      <c r="EF192" s="47" t="s">
        <v>217</v>
      </c>
    </row>
    <row r="193" spans="1:136" ht="15" customHeight="1" x14ac:dyDescent="0.25">
      <c r="A193" s="16" t="s">
        <v>842</v>
      </c>
      <c r="B193" s="17" t="s">
        <v>409</v>
      </c>
      <c r="C193" s="17" t="s">
        <v>843</v>
      </c>
      <c r="D193" s="18">
        <v>66.2</v>
      </c>
      <c r="E193" s="18">
        <v>0.8</v>
      </c>
      <c r="F193" s="18">
        <v>0</v>
      </c>
      <c r="G193" s="18">
        <v>15.8</v>
      </c>
      <c r="H193" s="18">
        <v>1</v>
      </c>
      <c r="I193" s="18">
        <v>10</v>
      </c>
      <c r="J193" s="18">
        <v>0.36</v>
      </c>
      <c r="K193" s="18">
        <v>8</v>
      </c>
      <c r="L193" s="18">
        <v>26</v>
      </c>
      <c r="M193" s="18">
        <v>220</v>
      </c>
      <c r="N193" s="18">
        <v>0</v>
      </c>
      <c r="O193" s="18">
        <v>0.04</v>
      </c>
      <c r="P193" s="18">
        <v>9.6000000000000002E-2</v>
      </c>
      <c r="Q193" s="18">
        <v>7.8E-2</v>
      </c>
      <c r="R193" s="18">
        <v>0</v>
      </c>
      <c r="S193" s="18">
        <v>0</v>
      </c>
      <c r="T193" s="18">
        <v>0.2</v>
      </c>
      <c r="U193" s="18">
        <v>0</v>
      </c>
      <c r="V193" s="18">
        <v>0.03</v>
      </c>
      <c r="W193" s="18">
        <v>0</v>
      </c>
      <c r="X193" s="18">
        <v>0</v>
      </c>
      <c r="Y193" s="18">
        <v>0</v>
      </c>
      <c r="Z193" s="18">
        <v>0</v>
      </c>
      <c r="AA193" s="18">
        <v>0</v>
      </c>
      <c r="AB193" s="18">
        <v>2160</v>
      </c>
      <c r="AC193" s="18" t="s">
        <v>844</v>
      </c>
      <c r="AD193" s="18" t="s">
        <v>221</v>
      </c>
      <c r="AE193" s="18" t="s">
        <v>845</v>
      </c>
      <c r="AF193" s="18"/>
      <c r="AG193" s="18" t="s">
        <v>846</v>
      </c>
      <c r="AH193" s="18" t="s">
        <v>847</v>
      </c>
      <c r="AI193" s="18" t="s">
        <v>155</v>
      </c>
      <c r="AJ193" s="18" t="s">
        <v>848</v>
      </c>
      <c r="AK193" s="18" t="s">
        <v>505</v>
      </c>
      <c r="AL193" s="18" t="s">
        <v>314</v>
      </c>
      <c r="AM193" s="18"/>
      <c r="AN193" s="18" t="s">
        <v>417</v>
      </c>
      <c r="AO193" s="18" t="s">
        <v>484</v>
      </c>
      <c r="AP193" s="18" t="s">
        <v>419</v>
      </c>
      <c r="AQ193" s="18" t="s">
        <v>162</v>
      </c>
      <c r="AR193" s="18">
        <v>18</v>
      </c>
      <c r="AS193" s="18">
        <v>30</v>
      </c>
      <c r="AT193" s="18">
        <v>10</v>
      </c>
      <c r="AU193" s="18">
        <v>38</v>
      </c>
      <c r="AV193" s="18">
        <v>700</v>
      </c>
      <c r="AW193" s="18">
        <v>850</v>
      </c>
      <c r="AX193" s="18">
        <v>400</v>
      </c>
      <c r="AY193" s="18">
        <v>1200</v>
      </c>
      <c r="AZ193" s="18">
        <v>5.5</v>
      </c>
      <c r="BA193" s="18">
        <v>7.5</v>
      </c>
      <c r="BB193" s="18">
        <v>4.5</v>
      </c>
      <c r="BC193" s="18">
        <v>8.5</v>
      </c>
      <c r="BD193" s="18">
        <v>20</v>
      </c>
      <c r="BE193" s="18"/>
      <c r="BF193" s="18">
        <v>45</v>
      </c>
      <c r="BG193" s="18">
        <v>50</v>
      </c>
      <c r="BH193" s="18">
        <v>2000</v>
      </c>
      <c r="BI193" s="18" t="s">
        <v>163</v>
      </c>
      <c r="BJ193" s="18" t="s">
        <v>163</v>
      </c>
      <c r="BK193" s="18" t="s">
        <v>163</v>
      </c>
      <c r="BL193" s="18" t="s">
        <v>164</v>
      </c>
      <c r="BM193" s="18" t="s">
        <v>288</v>
      </c>
      <c r="BN193" s="18" t="s">
        <v>201</v>
      </c>
      <c r="BO193" s="59" t="s">
        <v>167</v>
      </c>
      <c r="BP193" s="59" t="s">
        <v>203</v>
      </c>
      <c r="BQ193" s="59" t="s">
        <v>170</v>
      </c>
      <c r="BR193" s="59" t="s">
        <v>230</v>
      </c>
      <c r="BS193" s="59"/>
      <c r="BT193" s="59"/>
      <c r="BU193" s="59" t="s">
        <v>171</v>
      </c>
      <c r="BV193" s="59" t="s">
        <v>231</v>
      </c>
      <c r="BW193" s="59" t="s">
        <v>172</v>
      </c>
      <c r="BX193" s="59" t="s">
        <v>172</v>
      </c>
      <c r="BY193" s="59">
        <v>-20</v>
      </c>
      <c r="BZ193" s="59">
        <v>-3</v>
      </c>
      <c r="CA193" s="59" t="s">
        <v>508</v>
      </c>
      <c r="CB193" s="59" t="s">
        <v>849</v>
      </c>
      <c r="CC193" s="59"/>
      <c r="CD193" s="59" t="s">
        <v>252</v>
      </c>
      <c r="CE193" s="59"/>
      <c r="CF193" s="59" t="s">
        <v>850</v>
      </c>
      <c r="CG193" s="59">
        <v>160</v>
      </c>
      <c r="CH193" s="59">
        <v>270</v>
      </c>
      <c r="CI193" s="19">
        <v>1.2</v>
      </c>
      <c r="CJ193" s="19">
        <v>2</v>
      </c>
      <c r="CK193" s="19">
        <v>1.5</v>
      </c>
      <c r="CL193" s="19">
        <v>4</v>
      </c>
      <c r="CM193" s="17" t="s">
        <v>851</v>
      </c>
      <c r="CN193" s="20">
        <v>3</v>
      </c>
      <c r="CO193" s="20">
        <v>30</v>
      </c>
      <c r="CP193" s="17" t="s">
        <v>852</v>
      </c>
      <c r="CQ193" s="17" t="s">
        <v>853</v>
      </c>
      <c r="CR193" s="21">
        <v>0</v>
      </c>
      <c r="CS193" s="21">
        <v>0</v>
      </c>
      <c r="CT193" s="21">
        <v>8</v>
      </c>
      <c r="CU193" s="21">
        <v>4</v>
      </c>
      <c r="CV193" s="21">
        <v>10</v>
      </c>
      <c r="CW193" s="21">
        <v>30</v>
      </c>
      <c r="CX193" s="21">
        <v>5</v>
      </c>
      <c r="CY193" s="21">
        <v>30</v>
      </c>
      <c r="CZ193" s="21">
        <v>8</v>
      </c>
      <c r="DA193" s="21">
        <v>0</v>
      </c>
      <c r="DB193" s="21">
        <v>0</v>
      </c>
      <c r="DC193" s="21">
        <v>80</v>
      </c>
      <c r="DD193" s="21">
        <v>25</v>
      </c>
      <c r="DE193" s="21">
        <v>60</v>
      </c>
      <c r="DF193" s="21">
        <v>250</v>
      </c>
      <c r="DG193" s="21">
        <v>35</v>
      </c>
      <c r="DH193" s="21">
        <v>500</v>
      </c>
      <c r="DI193" s="21">
        <v>80</v>
      </c>
      <c r="DJ193" s="17" t="s">
        <v>854</v>
      </c>
      <c r="DK193" s="17" t="s">
        <v>409</v>
      </c>
      <c r="DL193" s="22">
        <v>150</v>
      </c>
      <c r="DM193" s="17" t="s">
        <v>855</v>
      </c>
      <c r="DN193" s="24" t="s">
        <v>182</v>
      </c>
      <c r="DO193" s="25" t="s">
        <v>183</v>
      </c>
      <c r="DP193" s="25" t="s">
        <v>183</v>
      </c>
      <c r="DQ193" s="24" t="s">
        <v>182</v>
      </c>
      <c r="DR193" s="23"/>
      <c r="DS193" s="23"/>
      <c r="DT193" s="23"/>
      <c r="DU193" s="23"/>
      <c r="DV193" s="23"/>
      <c r="DW193" s="23"/>
      <c r="DX193" s="23"/>
      <c r="DY193" s="23"/>
      <c r="DZ193" s="17" t="s">
        <v>856</v>
      </c>
      <c r="EA193" s="17" t="s">
        <v>857</v>
      </c>
      <c r="EB193" s="52" t="s">
        <v>301</v>
      </c>
      <c r="EC193" s="17" t="s">
        <v>858</v>
      </c>
      <c r="ED193" s="27" t="s">
        <v>859</v>
      </c>
      <c r="EE193" s="22">
        <v>8</v>
      </c>
      <c r="EF193" s="28" t="s">
        <v>757</v>
      </c>
    </row>
    <row r="194" spans="1:136" ht="15" customHeight="1" x14ac:dyDescent="0.25">
      <c r="A194" s="16" t="s">
        <v>631</v>
      </c>
      <c r="B194" s="17" t="s">
        <v>409</v>
      </c>
      <c r="C194" s="17" t="s">
        <v>632</v>
      </c>
      <c r="D194" s="18">
        <v>73.599999999999994</v>
      </c>
      <c r="E194" s="18">
        <v>1.1000000000000001</v>
      </c>
      <c r="F194" s="18">
        <v>0</v>
      </c>
      <c r="G194" s="18">
        <v>15.2</v>
      </c>
      <c r="H194" s="18">
        <v>1.4</v>
      </c>
      <c r="I194" s="18">
        <v>12</v>
      </c>
      <c r="J194" s="18">
        <v>0.21</v>
      </c>
      <c r="K194" s="18">
        <v>12</v>
      </c>
      <c r="L194" s="18">
        <v>20</v>
      </c>
      <c r="M194" s="18">
        <v>210</v>
      </c>
      <c r="N194" s="18">
        <v>0</v>
      </c>
      <c r="O194" s="18">
        <v>0.09</v>
      </c>
      <c r="P194" s="18">
        <v>0.08</v>
      </c>
      <c r="Q194" s="18">
        <v>0.15</v>
      </c>
      <c r="R194" s="18">
        <v>0</v>
      </c>
      <c r="S194" s="18">
        <v>3</v>
      </c>
      <c r="T194" s="18">
        <v>0</v>
      </c>
      <c r="U194" s="18">
        <v>8</v>
      </c>
      <c r="V194" s="18">
        <v>0.02</v>
      </c>
      <c r="W194" s="18">
        <v>0.03</v>
      </c>
      <c r="X194" s="18">
        <v>0</v>
      </c>
      <c r="Y194" s="18">
        <v>0</v>
      </c>
      <c r="Z194" s="18">
        <v>0</v>
      </c>
      <c r="AA194" s="18">
        <v>13</v>
      </c>
      <c r="AB194" s="18">
        <v>8965</v>
      </c>
      <c r="AC194" s="18" t="s">
        <v>633</v>
      </c>
      <c r="AD194" s="18" t="s">
        <v>221</v>
      </c>
      <c r="AE194" s="18" t="s">
        <v>413</v>
      </c>
      <c r="AF194" s="18" t="s">
        <v>634</v>
      </c>
      <c r="AG194" s="18" t="s">
        <v>635</v>
      </c>
      <c r="AH194" s="18" t="s">
        <v>636</v>
      </c>
      <c r="AI194" s="18" t="s">
        <v>155</v>
      </c>
      <c r="AJ194" s="18" t="s">
        <v>337</v>
      </c>
      <c r="AK194" s="18" t="s">
        <v>157</v>
      </c>
      <c r="AL194" s="18" t="s">
        <v>314</v>
      </c>
      <c r="AM194" s="18"/>
      <c r="AN194" s="18" t="s">
        <v>417</v>
      </c>
      <c r="AO194" s="18" t="s">
        <v>637</v>
      </c>
      <c r="AP194" s="18" t="s">
        <v>419</v>
      </c>
      <c r="AQ194" s="18" t="s">
        <v>341</v>
      </c>
      <c r="AR194" s="18">
        <v>18</v>
      </c>
      <c r="AS194" s="18">
        <v>28</v>
      </c>
      <c r="AT194" s="18">
        <v>6</v>
      </c>
      <c r="AU194" s="18">
        <v>40</v>
      </c>
      <c r="AV194" s="18">
        <v>500</v>
      </c>
      <c r="AW194" s="18">
        <v>900</v>
      </c>
      <c r="AX194" s="18">
        <v>300</v>
      </c>
      <c r="AY194" s="18">
        <v>1500</v>
      </c>
      <c r="AZ194" s="18">
        <v>5.5</v>
      </c>
      <c r="BA194" s="18">
        <v>6.5</v>
      </c>
      <c r="BB194" s="18">
        <v>4.5</v>
      </c>
      <c r="BC194" s="18">
        <v>7</v>
      </c>
      <c r="BD194" s="18"/>
      <c r="BE194" s="18">
        <v>40</v>
      </c>
      <c r="BF194" s="18"/>
      <c r="BG194" s="18">
        <v>60</v>
      </c>
      <c r="BH194" s="18"/>
      <c r="BI194" s="18" t="s">
        <v>163</v>
      </c>
      <c r="BJ194" s="18" t="s">
        <v>163</v>
      </c>
      <c r="BK194" s="18" t="s">
        <v>163</v>
      </c>
      <c r="BL194" s="18" t="s">
        <v>164</v>
      </c>
      <c r="BM194" s="18" t="s">
        <v>288</v>
      </c>
      <c r="BN194" s="18" t="s">
        <v>166</v>
      </c>
      <c r="BO194" s="59" t="s">
        <v>168</v>
      </c>
      <c r="BP194" s="59" t="s">
        <v>203</v>
      </c>
      <c r="BQ194" s="59" t="s">
        <v>170</v>
      </c>
      <c r="BR194" s="59" t="s">
        <v>230</v>
      </c>
      <c r="BS194" s="59"/>
      <c r="BT194" s="59"/>
      <c r="BU194" s="59" t="s">
        <v>171</v>
      </c>
      <c r="BV194" s="59" t="s">
        <v>171</v>
      </c>
      <c r="BW194" s="59" t="s">
        <v>172</v>
      </c>
      <c r="BX194" s="59" t="s">
        <v>172</v>
      </c>
      <c r="BY194" s="59">
        <v>-3</v>
      </c>
      <c r="BZ194" s="59">
        <v>0</v>
      </c>
      <c r="CA194" s="59"/>
      <c r="CB194" s="59" t="s">
        <v>638</v>
      </c>
      <c r="CC194" s="59"/>
      <c r="CD194" s="59"/>
      <c r="CE194" s="59"/>
      <c r="CF194" s="59"/>
      <c r="CG194" s="59">
        <v>180</v>
      </c>
      <c r="CH194" s="59">
        <v>240</v>
      </c>
      <c r="CI194" s="32">
        <v>5</v>
      </c>
      <c r="CJ194" s="32">
        <v>10</v>
      </c>
      <c r="CK194" s="32">
        <v>5</v>
      </c>
      <c r="CL194" s="32">
        <v>10</v>
      </c>
      <c r="CM194" s="33" t="s">
        <v>639</v>
      </c>
      <c r="CN194" s="34">
        <v>2</v>
      </c>
      <c r="CO194" s="34">
        <v>25</v>
      </c>
      <c r="CP194" s="35" t="s">
        <v>640</v>
      </c>
      <c r="CQ194" s="35" t="s">
        <v>209</v>
      </c>
      <c r="CR194" s="36">
        <v>0</v>
      </c>
      <c r="CS194" s="36">
        <v>0</v>
      </c>
      <c r="CT194" s="36">
        <v>6</v>
      </c>
      <c r="CU194" s="36">
        <v>3</v>
      </c>
      <c r="CV194" s="36">
        <v>6</v>
      </c>
      <c r="CW194" s="36">
        <v>20</v>
      </c>
      <c r="CX194" s="36">
        <v>4</v>
      </c>
      <c r="CY194" s="36">
        <v>40</v>
      </c>
      <c r="CZ194" s="36">
        <v>10</v>
      </c>
      <c r="DA194" s="37">
        <v>0</v>
      </c>
      <c r="DB194" s="37">
        <v>0</v>
      </c>
      <c r="DC194" s="37">
        <v>60</v>
      </c>
      <c r="DD194" s="37">
        <v>20</v>
      </c>
      <c r="DE194" s="37">
        <v>40</v>
      </c>
      <c r="DF194" s="37">
        <v>150</v>
      </c>
      <c r="DG194" s="37">
        <v>25</v>
      </c>
      <c r="DH194" s="37">
        <v>600</v>
      </c>
      <c r="DI194" s="37">
        <v>100</v>
      </c>
      <c r="DJ194" s="38" t="s">
        <v>641</v>
      </c>
      <c r="DK194" s="39" t="s">
        <v>409</v>
      </c>
      <c r="DL194" s="40">
        <v>150</v>
      </c>
      <c r="DM194" s="39" t="s">
        <v>642</v>
      </c>
      <c r="DN194" s="25" t="s">
        <v>183</v>
      </c>
      <c r="DO194" s="24" t="s">
        <v>182</v>
      </c>
      <c r="DP194" s="41"/>
      <c r="DQ194" s="41"/>
      <c r="DR194" s="41"/>
      <c r="DS194" s="41"/>
      <c r="DT194" s="41"/>
      <c r="DU194" s="41"/>
      <c r="DV194" s="41"/>
      <c r="DW194" s="41"/>
      <c r="DX194" s="24" t="s">
        <v>182</v>
      </c>
      <c r="DY194" s="25" t="s">
        <v>183</v>
      </c>
      <c r="DZ194" s="42" t="s">
        <v>643</v>
      </c>
      <c r="EA194" s="42" t="s">
        <v>644</v>
      </c>
      <c r="EB194" s="52" t="s">
        <v>301</v>
      </c>
      <c r="EC194" s="44" t="s">
        <v>645</v>
      </c>
      <c r="ED194" s="45" t="s">
        <v>496</v>
      </c>
      <c r="EE194" s="46">
        <v>8</v>
      </c>
      <c r="EF194" s="47" t="s">
        <v>217</v>
      </c>
    </row>
    <row r="195" spans="1:136" ht="15" customHeight="1" x14ac:dyDescent="0.25">
      <c r="A195" s="16" t="s">
        <v>276</v>
      </c>
      <c r="B195" s="17" t="s">
        <v>277</v>
      </c>
      <c r="C195" s="17" t="s">
        <v>276</v>
      </c>
      <c r="D195" s="18">
        <v>49</v>
      </c>
      <c r="E195" s="18">
        <v>0.96</v>
      </c>
      <c r="F195" s="18">
        <v>11.31</v>
      </c>
      <c r="G195" s="18">
        <v>0</v>
      </c>
      <c r="H195" s="18">
        <v>0.64</v>
      </c>
      <c r="I195" s="18">
        <v>215</v>
      </c>
      <c r="J195" s="18">
        <v>1.48</v>
      </c>
      <c r="K195" s="18">
        <v>51</v>
      </c>
      <c r="L195" s="18">
        <v>37</v>
      </c>
      <c r="M195" s="18">
        <v>208</v>
      </c>
      <c r="N195" s="18">
        <v>6</v>
      </c>
      <c r="O195" s="18">
        <v>0</v>
      </c>
      <c r="P195" s="18">
        <v>0</v>
      </c>
      <c r="Q195" s="18">
        <v>0</v>
      </c>
      <c r="R195" s="18">
        <v>0</v>
      </c>
      <c r="S195" s="18">
        <v>287</v>
      </c>
      <c r="T195" s="18">
        <v>0</v>
      </c>
      <c r="U195" s="18">
        <v>12</v>
      </c>
      <c r="V195" s="18">
        <v>1.0999999999999999E-2</v>
      </c>
      <c r="W195" s="18">
        <v>2.8000000000000001E-2</v>
      </c>
      <c r="X195" s="18">
        <v>0.31</v>
      </c>
      <c r="Y195" s="18">
        <v>0</v>
      </c>
      <c r="Z195" s="18">
        <v>0</v>
      </c>
      <c r="AA195" s="18">
        <v>0</v>
      </c>
      <c r="AB195" s="18">
        <v>1216</v>
      </c>
      <c r="AC195" s="18" t="s">
        <v>278</v>
      </c>
      <c r="AD195" s="18" t="s">
        <v>221</v>
      </c>
      <c r="AE195" s="18" t="s">
        <v>279</v>
      </c>
      <c r="AF195" s="18">
        <v>0</v>
      </c>
      <c r="AG195" s="18" t="s">
        <v>280</v>
      </c>
      <c r="AH195" s="18" t="s">
        <v>281</v>
      </c>
      <c r="AI195" s="18" t="s">
        <v>226</v>
      </c>
      <c r="AJ195" s="18" t="s">
        <v>156</v>
      </c>
      <c r="AK195" s="18" t="s">
        <v>157</v>
      </c>
      <c r="AL195" s="18" t="s">
        <v>282</v>
      </c>
      <c r="AM195" s="18" t="s">
        <v>283</v>
      </c>
      <c r="AN195" s="18" t="s">
        <v>284</v>
      </c>
      <c r="AO195" s="18" t="s">
        <v>285</v>
      </c>
      <c r="AP195" s="18" t="s">
        <v>286</v>
      </c>
      <c r="AQ195" s="18" t="s">
        <v>287</v>
      </c>
      <c r="AR195" s="18">
        <v>16</v>
      </c>
      <c r="AS195" s="18">
        <v>32</v>
      </c>
      <c r="AT195" s="18">
        <v>10</v>
      </c>
      <c r="AU195" s="18">
        <v>36</v>
      </c>
      <c r="AV195" s="18">
        <v>1000</v>
      </c>
      <c r="AW195" s="18">
        <v>3000</v>
      </c>
      <c r="AX195" s="18">
        <v>500</v>
      </c>
      <c r="AY195" s="18">
        <v>3500</v>
      </c>
      <c r="AZ195" s="18">
        <v>5.5</v>
      </c>
      <c r="BA195" s="18">
        <v>7.5</v>
      </c>
      <c r="BB195" s="18">
        <v>4.5</v>
      </c>
      <c r="BC195" s="18">
        <v>8.5</v>
      </c>
      <c r="BD195" s="18">
        <v>0</v>
      </c>
      <c r="BE195" s="18">
        <v>0</v>
      </c>
      <c r="BF195" s="18">
        <v>25</v>
      </c>
      <c r="BG195" s="18">
        <v>35</v>
      </c>
      <c r="BH195" s="18">
        <v>900</v>
      </c>
      <c r="BI195" s="18" t="s">
        <v>165</v>
      </c>
      <c r="BJ195" s="18" t="s">
        <v>163</v>
      </c>
      <c r="BK195" s="18" t="s">
        <v>164</v>
      </c>
      <c r="BL195" s="18" t="s">
        <v>163</v>
      </c>
      <c r="BM195" s="18" t="s">
        <v>288</v>
      </c>
      <c r="BN195" s="18" t="s">
        <v>166</v>
      </c>
      <c r="BO195" t="s">
        <v>167</v>
      </c>
      <c r="BP195" t="s">
        <v>289</v>
      </c>
      <c r="BQ195" t="s">
        <v>170</v>
      </c>
      <c r="BR195" t="s">
        <v>230</v>
      </c>
      <c r="BS195">
        <v>0</v>
      </c>
      <c r="BT195">
        <v>0</v>
      </c>
      <c r="BU195" t="s">
        <v>171</v>
      </c>
      <c r="BV195" t="s">
        <v>171</v>
      </c>
      <c r="BW195" t="s">
        <v>172</v>
      </c>
      <c r="BX195" t="s">
        <v>290</v>
      </c>
      <c r="BY195">
        <v>0</v>
      </c>
      <c r="BZ195">
        <v>0</v>
      </c>
      <c r="CA195" t="s">
        <v>291</v>
      </c>
      <c r="CB195" t="s">
        <v>292</v>
      </c>
      <c r="CC195">
        <v>0</v>
      </c>
      <c r="CD195">
        <v>0</v>
      </c>
      <c r="CE195">
        <v>0</v>
      </c>
      <c r="CF195" t="s">
        <v>293</v>
      </c>
      <c r="CG195">
        <v>0</v>
      </c>
      <c r="CH195">
        <v>0</v>
      </c>
      <c r="CI195" s="32">
        <v>1.5</v>
      </c>
      <c r="CJ195" s="32">
        <v>3</v>
      </c>
      <c r="CK195" s="32">
        <v>0.5</v>
      </c>
      <c r="CL195" s="32">
        <v>1.5</v>
      </c>
      <c r="CM195" s="33" t="s">
        <v>294</v>
      </c>
      <c r="CN195" s="34">
        <v>1</v>
      </c>
      <c r="CO195" s="34">
        <v>5</v>
      </c>
      <c r="CP195" s="35" t="s">
        <v>295</v>
      </c>
      <c r="CQ195" s="35" t="s">
        <v>296</v>
      </c>
      <c r="CR195" s="36">
        <v>4</v>
      </c>
      <c r="CS195" s="36">
        <v>3</v>
      </c>
      <c r="CT195" s="36">
        <v>6</v>
      </c>
      <c r="CU195" s="36">
        <v>2</v>
      </c>
      <c r="CV195" s="36">
        <v>3</v>
      </c>
      <c r="CW195" s="36">
        <v>0</v>
      </c>
      <c r="CX195" s="36">
        <v>3</v>
      </c>
      <c r="CY195" s="36">
        <v>15</v>
      </c>
      <c r="CZ195" s="36">
        <v>10</v>
      </c>
      <c r="DA195" s="37">
        <v>120</v>
      </c>
      <c r="DB195" s="37">
        <v>70</v>
      </c>
      <c r="DC195" s="37">
        <v>200</v>
      </c>
      <c r="DD195" s="37">
        <v>20</v>
      </c>
      <c r="DE195" s="37">
        <v>20</v>
      </c>
      <c r="DF195" s="37">
        <v>0</v>
      </c>
      <c r="DG195" s="37">
        <v>30</v>
      </c>
      <c r="DH195" s="37">
        <v>350</v>
      </c>
      <c r="DI195" s="37">
        <v>150</v>
      </c>
      <c r="DJ195" s="38" t="s">
        <v>297</v>
      </c>
      <c r="DK195" s="39" t="s">
        <v>180</v>
      </c>
      <c r="DL195" s="40">
        <v>75</v>
      </c>
      <c r="DM195" s="39" t="s">
        <v>298</v>
      </c>
      <c r="DN195" s="41"/>
      <c r="DO195" s="41"/>
      <c r="DP195" s="24" t="s">
        <v>182</v>
      </c>
      <c r="DQ195" s="25" t="s">
        <v>183</v>
      </c>
      <c r="DR195" s="25" t="s">
        <v>183</v>
      </c>
      <c r="DS195" s="25" t="s">
        <v>183</v>
      </c>
      <c r="DT195" s="24" t="s">
        <v>182</v>
      </c>
      <c r="DU195" s="41"/>
      <c r="DV195" s="41"/>
      <c r="DW195" s="41"/>
      <c r="DX195" s="41"/>
      <c r="DY195" s="41"/>
      <c r="DZ195" s="42" t="s">
        <v>299</v>
      </c>
      <c r="EA195" s="42" t="s">
        <v>300</v>
      </c>
      <c r="EB195" s="52" t="s">
        <v>301</v>
      </c>
      <c r="EC195" s="44" t="s">
        <v>302</v>
      </c>
      <c r="ED195" s="45" t="s">
        <v>303</v>
      </c>
      <c r="EE195" s="46">
        <v>6</v>
      </c>
      <c r="EF195" s="47" t="s">
        <v>304</v>
      </c>
    </row>
    <row r="196" spans="1:136" ht="15" customHeight="1" x14ac:dyDescent="0.25">
      <c r="A196" s="16" t="s">
        <v>1817</v>
      </c>
      <c r="B196" s="17" t="s">
        <v>1700</v>
      </c>
      <c r="C196" s="17" t="s">
        <v>1818</v>
      </c>
      <c r="D196" s="18">
        <v>14.3</v>
      </c>
      <c r="E196" s="18">
        <v>1</v>
      </c>
      <c r="F196" s="18">
        <v>0</v>
      </c>
      <c r="G196" s="18">
        <v>2.1</v>
      </c>
      <c r="H196" s="18">
        <v>1.1000000000000001</v>
      </c>
      <c r="I196" s="18">
        <v>18</v>
      </c>
      <c r="J196" s="18">
        <v>0.26</v>
      </c>
      <c r="K196" s="18">
        <v>9</v>
      </c>
      <c r="L196" s="18">
        <v>29</v>
      </c>
      <c r="M196" s="18">
        <v>170</v>
      </c>
      <c r="N196" s="18">
        <v>12</v>
      </c>
      <c r="O196" s="18">
        <v>0.21</v>
      </c>
      <c r="P196" s="18">
        <v>3.1E-2</v>
      </c>
      <c r="Q196" s="18">
        <v>0.13</v>
      </c>
      <c r="R196" s="18">
        <v>0</v>
      </c>
      <c r="S196" s="18">
        <v>5</v>
      </c>
      <c r="T196" s="18">
        <v>0</v>
      </c>
      <c r="U196" s="18">
        <v>2</v>
      </c>
      <c r="V196" s="18">
        <v>0.06</v>
      </c>
      <c r="W196" s="18">
        <v>0.03</v>
      </c>
      <c r="X196" s="18">
        <v>0</v>
      </c>
      <c r="Y196" s="18">
        <v>0</v>
      </c>
      <c r="Z196" s="18">
        <v>0</v>
      </c>
      <c r="AA196" s="18">
        <v>60</v>
      </c>
      <c r="AB196" s="18">
        <v>1313</v>
      </c>
      <c r="AC196" s="18" t="s">
        <v>1807</v>
      </c>
      <c r="AD196" s="18" t="s">
        <v>221</v>
      </c>
      <c r="AE196" s="18" t="s">
        <v>397</v>
      </c>
      <c r="AF196" s="18" t="s">
        <v>1808</v>
      </c>
      <c r="AG196" s="18" t="s">
        <v>1809</v>
      </c>
      <c r="AH196" s="18" t="s">
        <v>1810</v>
      </c>
      <c r="AI196" s="18" t="s">
        <v>155</v>
      </c>
      <c r="AJ196" s="18" t="s">
        <v>156</v>
      </c>
      <c r="AK196" s="18" t="s">
        <v>1357</v>
      </c>
      <c r="AL196" s="18" t="s">
        <v>158</v>
      </c>
      <c r="AM196" s="18" t="s">
        <v>159</v>
      </c>
      <c r="AN196" s="18" t="s">
        <v>160</v>
      </c>
      <c r="AO196" s="18" t="s">
        <v>161</v>
      </c>
      <c r="AP196" s="18" t="s">
        <v>161</v>
      </c>
      <c r="AQ196" s="18" t="s">
        <v>162</v>
      </c>
      <c r="AR196" s="18">
        <v>12</v>
      </c>
      <c r="AS196" s="18">
        <v>21</v>
      </c>
      <c r="AT196" s="18">
        <v>5</v>
      </c>
      <c r="AU196" s="18">
        <v>30</v>
      </c>
      <c r="AV196" s="18">
        <v>1100</v>
      </c>
      <c r="AW196" s="18">
        <v>1400</v>
      </c>
      <c r="AX196" s="18">
        <v>900</v>
      </c>
      <c r="AY196" s="18">
        <v>4100</v>
      </c>
      <c r="AZ196" s="18">
        <v>6</v>
      </c>
      <c r="BA196" s="18">
        <v>7</v>
      </c>
      <c r="BB196" s="18">
        <v>4.2</v>
      </c>
      <c r="BC196" s="18">
        <v>7.5</v>
      </c>
      <c r="BD196" s="18"/>
      <c r="BE196" s="18"/>
      <c r="BF196" s="18">
        <v>60</v>
      </c>
      <c r="BG196" s="18">
        <v>60</v>
      </c>
      <c r="BH196" s="18">
        <v>3000</v>
      </c>
      <c r="BI196" s="18" t="s">
        <v>164</v>
      </c>
      <c r="BJ196" s="18" t="s">
        <v>164</v>
      </c>
      <c r="BK196" s="18" t="s">
        <v>163</v>
      </c>
      <c r="BL196" s="18" t="s">
        <v>165</v>
      </c>
      <c r="BM196" s="18" t="s">
        <v>201</v>
      </c>
      <c r="BN196" s="18"/>
      <c r="BO196" s="59" t="s">
        <v>250</v>
      </c>
      <c r="BP196" s="59" t="s">
        <v>203</v>
      </c>
      <c r="BQ196" s="59" t="s">
        <v>170</v>
      </c>
      <c r="BR196" s="59" t="s">
        <v>230</v>
      </c>
      <c r="BS196" s="59"/>
      <c r="BT196" s="59"/>
      <c r="BU196" s="59" t="s">
        <v>171</v>
      </c>
      <c r="BV196" s="59" t="s">
        <v>171</v>
      </c>
      <c r="BW196" s="59" t="s">
        <v>172</v>
      </c>
      <c r="BX196" s="59" t="s">
        <v>172</v>
      </c>
      <c r="BY196" s="59">
        <v>-1</v>
      </c>
      <c r="BZ196" s="59">
        <v>0</v>
      </c>
      <c r="CA196" s="59" t="s">
        <v>508</v>
      </c>
      <c r="CB196" s="59" t="s">
        <v>251</v>
      </c>
      <c r="CC196" s="59"/>
      <c r="CD196" s="59"/>
      <c r="CE196" s="59"/>
      <c r="CF196" s="59"/>
      <c r="CG196" s="59">
        <v>35</v>
      </c>
      <c r="CH196" s="59">
        <v>85</v>
      </c>
      <c r="CI196" s="19">
        <v>0.2</v>
      </c>
      <c r="CJ196" s="19">
        <v>0.4</v>
      </c>
      <c r="CK196" s="19">
        <v>0.2</v>
      </c>
      <c r="CL196" s="19">
        <v>0.4</v>
      </c>
      <c r="CM196" s="17" t="s">
        <v>1811</v>
      </c>
      <c r="CN196" s="20">
        <v>15</v>
      </c>
      <c r="CO196" s="20">
        <v>50</v>
      </c>
      <c r="CP196" s="17" t="s">
        <v>1819</v>
      </c>
      <c r="CQ196" s="17" t="s">
        <v>365</v>
      </c>
      <c r="CR196" s="21">
        <v>5</v>
      </c>
      <c r="CS196" s="21">
        <v>5</v>
      </c>
      <c r="CT196" s="21">
        <v>6</v>
      </c>
      <c r="CU196" s="21">
        <v>3</v>
      </c>
      <c r="CV196" s="21">
        <v>5</v>
      </c>
      <c r="CW196" s="21">
        <v>0</v>
      </c>
      <c r="CX196" s="21">
        <v>5</v>
      </c>
      <c r="CY196" s="21">
        <v>12</v>
      </c>
      <c r="CZ196" s="21">
        <v>8</v>
      </c>
      <c r="DA196" s="21">
        <v>130</v>
      </c>
      <c r="DB196" s="21">
        <v>130</v>
      </c>
      <c r="DC196" s="21">
        <v>200</v>
      </c>
      <c r="DD196" s="21">
        <v>25</v>
      </c>
      <c r="DE196" s="21">
        <v>40</v>
      </c>
      <c r="DF196" s="21">
        <v>0</v>
      </c>
      <c r="DG196" s="21">
        <v>50</v>
      </c>
      <c r="DH196" s="21">
        <v>320</v>
      </c>
      <c r="DI196" s="21">
        <v>120</v>
      </c>
      <c r="DJ196" s="17" t="s">
        <v>1820</v>
      </c>
      <c r="DK196" s="17" t="s">
        <v>180</v>
      </c>
      <c r="DL196" s="22">
        <v>75</v>
      </c>
      <c r="DM196" s="17" t="s">
        <v>1821</v>
      </c>
      <c r="DN196" s="23"/>
      <c r="DO196" s="24" t="s">
        <v>182</v>
      </c>
      <c r="DP196" s="25" t="s">
        <v>183</v>
      </c>
      <c r="DQ196" s="25" t="s">
        <v>183</v>
      </c>
      <c r="DR196" s="25" t="s">
        <v>183</v>
      </c>
      <c r="DS196" s="24" t="s">
        <v>182</v>
      </c>
      <c r="DT196" s="23"/>
      <c r="DU196" s="24" t="s">
        <v>182</v>
      </c>
      <c r="DV196" s="25" t="s">
        <v>183</v>
      </c>
      <c r="DW196" s="25" t="s">
        <v>183</v>
      </c>
      <c r="DX196" s="25" t="s">
        <v>183</v>
      </c>
      <c r="DY196" s="24" t="s">
        <v>182</v>
      </c>
      <c r="DZ196" s="17" t="s">
        <v>1822</v>
      </c>
      <c r="EA196" s="17" t="s">
        <v>1823</v>
      </c>
      <c r="EB196" s="43" t="s">
        <v>214</v>
      </c>
      <c r="EC196" s="17" t="s">
        <v>925</v>
      </c>
      <c r="ED196" s="27" t="s">
        <v>304</v>
      </c>
      <c r="EE196" s="22">
        <v>0</v>
      </c>
      <c r="EF196" s="54" t="s">
        <v>217</v>
      </c>
    </row>
    <row r="197" spans="1:136" ht="15" customHeight="1" x14ac:dyDescent="0.25">
      <c r="A197" s="16" t="s">
        <v>1155</v>
      </c>
      <c r="B197" s="17" t="s">
        <v>409</v>
      </c>
      <c r="C197" s="17" t="s">
        <v>1156</v>
      </c>
      <c r="D197" s="18">
        <v>59.3</v>
      </c>
      <c r="E197" s="18">
        <v>0.4</v>
      </c>
      <c r="F197" s="18">
        <v>0</v>
      </c>
      <c r="G197" s="18">
        <v>10.8</v>
      </c>
      <c r="H197" s="18">
        <v>3</v>
      </c>
      <c r="I197" s="18">
        <v>8</v>
      </c>
      <c r="J197" s="18">
        <v>0</v>
      </c>
      <c r="K197" s="18">
        <v>7</v>
      </c>
      <c r="L197" s="18">
        <v>12</v>
      </c>
      <c r="M197" s="18">
        <v>130</v>
      </c>
      <c r="N197" s="18">
        <v>0</v>
      </c>
      <c r="O197" s="18">
        <v>0.09</v>
      </c>
      <c r="P197" s="18">
        <v>6.0999999999999999E-2</v>
      </c>
      <c r="Q197" s="18">
        <v>4.7E-2</v>
      </c>
      <c r="R197" s="18">
        <v>0</v>
      </c>
      <c r="S197" s="18">
        <v>4</v>
      </c>
      <c r="T197" s="18">
        <v>0.2</v>
      </c>
      <c r="U197" s="18">
        <v>3</v>
      </c>
      <c r="V197" s="18">
        <v>0</v>
      </c>
      <c r="W197" s="18">
        <v>0</v>
      </c>
      <c r="X197" s="18">
        <v>0</v>
      </c>
      <c r="Y197" s="18">
        <v>0</v>
      </c>
      <c r="Z197" s="18">
        <v>0</v>
      </c>
      <c r="AA197" s="18">
        <v>24</v>
      </c>
      <c r="AB197" s="18">
        <v>1832</v>
      </c>
      <c r="AC197" s="18" t="s">
        <v>1157</v>
      </c>
      <c r="AD197" s="18" t="s">
        <v>221</v>
      </c>
      <c r="AE197" s="18" t="s">
        <v>413</v>
      </c>
      <c r="AF197" s="18"/>
      <c r="AG197" s="18" t="s">
        <v>1158</v>
      </c>
      <c r="AH197" s="18" t="s">
        <v>1159</v>
      </c>
      <c r="AI197" s="18" t="s">
        <v>226</v>
      </c>
      <c r="AJ197" s="18" t="s">
        <v>337</v>
      </c>
      <c r="AK197" s="18" t="s">
        <v>157</v>
      </c>
      <c r="AL197" s="18" t="s">
        <v>314</v>
      </c>
      <c r="AM197" s="18"/>
      <c r="AN197" s="18" t="s">
        <v>417</v>
      </c>
      <c r="AO197" s="18" t="s">
        <v>451</v>
      </c>
      <c r="AP197" s="18" t="s">
        <v>419</v>
      </c>
      <c r="AQ197" s="18" t="s">
        <v>162</v>
      </c>
      <c r="AR197" s="18">
        <v>20</v>
      </c>
      <c r="AS197" s="18">
        <v>35</v>
      </c>
      <c r="AT197" s="18">
        <v>10</v>
      </c>
      <c r="AU197" s="18">
        <v>37</v>
      </c>
      <c r="AV197" s="18">
        <v>600</v>
      </c>
      <c r="AW197" s="18">
        <v>900</v>
      </c>
      <c r="AX197" s="18">
        <v>400</v>
      </c>
      <c r="AY197" s="18">
        <v>2100</v>
      </c>
      <c r="AZ197" s="18">
        <v>5.5</v>
      </c>
      <c r="BA197" s="18">
        <v>6.5</v>
      </c>
      <c r="BB197" s="18">
        <v>4.5</v>
      </c>
      <c r="BC197" s="18">
        <v>8.3000000000000007</v>
      </c>
      <c r="BD197" s="18">
        <v>35</v>
      </c>
      <c r="BE197" s="18"/>
      <c r="BF197" s="18">
        <v>55</v>
      </c>
      <c r="BG197" s="18">
        <v>60</v>
      </c>
      <c r="BH197" s="18">
        <v>2000</v>
      </c>
      <c r="BI197" s="18" t="s">
        <v>163</v>
      </c>
      <c r="BJ197" s="18" t="s">
        <v>163</v>
      </c>
      <c r="BK197" s="18" t="s">
        <v>163</v>
      </c>
      <c r="BL197" s="18" t="s">
        <v>164</v>
      </c>
      <c r="BM197" s="18" t="s">
        <v>166</v>
      </c>
      <c r="BN197" s="18" t="s">
        <v>201</v>
      </c>
      <c r="BO197" s="59" t="s">
        <v>168</v>
      </c>
      <c r="BP197" s="59" t="s">
        <v>203</v>
      </c>
      <c r="BQ197" s="59" t="s">
        <v>170</v>
      </c>
      <c r="BR197" s="59" t="s">
        <v>170</v>
      </c>
      <c r="BS197" s="59"/>
      <c r="BT197" s="59"/>
      <c r="BU197" s="59" t="s">
        <v>171</v>
      </c>
      <c r="BV197" s="59" t="s">
        <v>171</v>
      </c>
      <c r="BW197" s="59" t="s">
        <v>172</v>
      </c>
      <c r="BX197" s="59" t="s">
        <v>172</v>
      </c>
      <c r="BY197" s="59">
        <v>-34</v>
      </c>
      <c r="BZ197" s="59">
        <v>-9</v>
      </c>
      <c r="CA197" s="59" t="s">
        <v>173</v>
      </c>
      <c r="CB197" s="59" t="s">
        <v>688</v>
      </c>
      <c r="CC197" s="59"/>
      <c r="CD197" s="59" t="s">
        <v>964</v>
      </c>
      <c r="CE197" s="59"/>
      <c r="CF197" s="59"/>
      <c r="CG197" s="59">
        <v>180</v>
      </c>
      <c r="CH197" s="59">
        <v>270</v>
      </c>
      <c r="CI197" s="19">
        <v>4</v>
      </c>
      <c r="CJ197" s="19">
        <v>10</v>
      </c>
      <c r="CK197" s="19">
        <v>4</v>
      </c>
      <c r="CL197" s="19">
        <v>8</v>
      </c>
      <c r="CM197" s="17" t="s">
        <v>868</v>
      </c>
      <c r="CN197" s="20">
        <v>5</v>
      </c>
      <c r="CO197" s="20">
        <v>40</v>
      </c>
      <c r="CP197" s="17" t="s">
        <v>1160</v>
      </c>
      <c r="CQ197" s="17" t="s">
        <v>209</v>
      </c>
      <c r="CR197" s="21">
        <v>0</v>
      </c>
      <c r="CS197" s="21">
        <v>0</v>
      </c>
      <c r="CT197" s="21">
        <v>6</v>
      </c>
      <c r="CU197" s="21">
        <v>3</v>
      </c>
      <c r="CV197" s="21">
        <v>8</v>
      </c>
      <c r="CW197" s="21">
        <v>20</v>
      </c>
      <c r="CX197" s="21">
        <v>5</v>
      </c>
      <c r="CY197" s="21">
        <v>30</v>
      </c>
      <c r="CZ197" s="21">
        <v>8</v>
      </c>
      <c r="DA197" s="21">
        <v>0</v>
      </c>
      <c r="DB197" s="21">
        <v>0</v>
      </c>
      <c r="DC197" s="21">
        <v>60</v>
      </c>
      <c r="DD197" s="21">
        <v>20</v>
      </c>
      <c r="DE197" s="21">
        <v>50</v>
      </c>
      <c r="DF197" s="21">
        <v>150</v>
      </c>
      <c r="DG197" s="21">
        <v>30</v>
      </c>
      <c r="DH197" s="21">
        <v>450</v>
      </c>
      <c r="DI197" s="21">
        <v>80</v>
      </c>
      <c r="DJ197" s="17" t="s">
        <v>1161</v>
      </c>
      <c r="DK197" s="17" t="s">
        <v>409</v>
      </c>
      <c r="DL197" s="22">
        <v>150</v>
      </c>
      <c r="DM197" s="17" t="s">
        <v>1162</v>
      </c>
      <c r="DN197" s="24" t="s">
        <v>182</v>
      </c>
      <c r="DO197" s="25" t="s">
        <v>183</v>
      </c>
      <c r="DP197" s="25" t="s">
        <v>183</v>
      </c>
      <c r="DQ197" s="25" t="s">
        <v>183</v>
      </c>
      <c r="DR197" s="24" t="s">
        <v>182</v>
      </c>
      <c r="DS197" s="23"/>
      <c r="DT197" s="23"/>
      <c r="DU197" s="23"/>
      <c r="DV197" s="23"/>
      <c r="DW197" s="23"/>
      <c r="DX197" s="23"/>
      <c r="DY197" s="23"/>
      <c r="DZ197" s="17" t="s">
        <v>1163</v>
      </c>
      <c r="EA197" s="17" t="s">
        <v>1164</v>
      </c>
      <c r="EB197" s="48" t="s">
        <v>239</v>
      </c>
      <c r="EC197" s="17" t="s">
        <v>1165</v>
      </c>
      <c r="ED197" s="27" t="s">
        <v>1166</v>
      </c>
      <c r="EE197" s="22">
        <v>4</v>
      </c>
      <c r="EF197" s="49" t="s">
        <v>1167</v>
      </c>
    </row>
    <row r="198" spans="1:136" ht="15" customHeight="1" x14ac:dyDescent="0.25">
      <c r="A198" s="16" t="s">
        <v>544</v>
      </c>
      <c r="B198" s="29" t="s">
        <v>409</v>
      </c>
      <c r="C198" s="29" t="s">
        <v>545</v>
      </c>
      <c r="D198" s="30">
        <v>48.5</v>
      </c>
      <c r="E198" s="30">
        <v>0.5</v>
      </c>
      <c r="F198" s="30">
        <v>0</v>
      </c>
      <c r="G198" s="30">
        <v>10.4</v>
      </c>
      <c r="H198" s="30">
        <v>3</v>
      </c>
      <c r="I198" s="30">
        <v>11</v>
      </c>
      <c r="J198" s="30">
        <v>0.35</v>
      </c>
      <c r="K198" s="30">
        <v>6</v>
      </c>
      <c r="L198" s="30">
        <v>11</v>
      </c>
      <c r="M198" s="30">
        <v>83</v>
      </c>
      <c r="N198" s="30">
        <v>2</v>
      </c>
      <c r="O198" s="30">
        <v>7.0000000000000007E-2</v>
      </c>
      <c r="P198" s="30">
        <v>3.5000000000000003E-2</v>
      </c>
      <c r="Q198" s="30">
        <v>8.2000000000000003E-2</v>
      </c>
      <c r="R198" s="30">
        <v>0</v>
      </c>
      <c r="S198" s="30">
        <v>0</v>
      </c>
      <c r="T198" s="30">
        <v>0.55000000000000004</v>
      </c>
      <c r="U198" s="30">
        <v>2</v>
      </c>
      <c r="V198" s="30">
        <v>0.03</v>
      </c>
      <c r="W198" s="30">
        <v>0</v>
      </c>
      <c r="X198" s="30">
        <v>0</v>
      </c>
      <c r="Y198" s="30">
        <v>0</v>
      </c>
      <c r="Z198" s="30">
        <v>0</v>
      </c>
      <c r="AA198" s="30">
        <v>0</v>
      </c>
      <c r="AB198" s="31">
        <v>10704</v>
      </c>
      <c r="AC198" s="31" t="s">
        <v>546</v>
      </c>
      <c r="AD198" s="31" t="s">
        <v>221</v>
      </c>
      <c r="AE198" s="31" t="s">
        <v>479</v>
      </c>
      <c r="AF198" s="31" t="s">
        <v>547</v>
      </c>
      <c r="AG198" s="31" t="s">
        <v>548</v>
      </c>
      <c r="AH198" s="31" t="s">
        <v>549</v>
      </c>
      <c r="AI198" s="31" t="s">
        <v>226</v>
      </c>
      <c r="AJ198" s="31" t="s">
        <v>523</v>
      </c>
      <c r="AK198" s="31" t="s">
        <v>157</v>
      </c>
      <c r="AL198" s="31" t="s">
        <v>314</v>
      </c>
      <c r="AM198" s="31"/>
      <c r="AN198" s="31" t="s">
        <v>483</v>
      </c>
      <c r="AO198" s="31" t="s">
        <v>419</v>
      </c>
      <c r="AP198" s="31" t="s">
        <v>419</v>
      </c>
      <c r="AQ198" s="31" t="s">
        <v>341</v>
      </c>
      <c r="AR198" s="31">
        <v>18</v>
      </c>
      <c r="AS198" s="31">
        <v>30</v>
      </c>
      <c r="AT198" s="31">
        <v>7</v>
      </c>
      <c r="AU198" s="31">
        <v>42</v>
      </c>
      <c r="AV198" s="31">
        <v>900</v>
      </c>
      <c r="AW198" s="31">
        <v>1100</v>
      </c>
      <c r="AX198" s="31">
        <v>700</v>
      </c>
      <c r="AY198" s="31">
        <v>1300</v>
      </c>
      <c r="AZ198" s="31">
        <v>4</v>
      </c>
      <c r="BA198" s="31">
        <v>5</v>
      </c>
      <c r="BB198" s="31">
        <v>3</v>
      </c>
      <c r="BC198" s="31">
        <v>5.5</v>
      </c>
      <c r="BD198" s="31">
        <v>30</v>
      </c>
      <c r="BE198" s="31">
        <v>30</v>
      </c>
      <c r="BF198" s="31">
        <v>45</v>
      </c>
      <c r="BG198" s="31">
        <v>45</v>
      </c>
      <c r="BH198" s="31">
        <v>1000</v>
      </c>
      <c r="BI198" s="31" t="s">
        <v>164</v>
      </c>
      <c r="BJ198" s="31" t="s">
        <v>163</v>
      </c>
      <c r="BK198" s="31" t="s">
        <v>165</v>
      </c>
      <c r="BL198" s="31" t="s">
        <v>163</v>
      </c>
      <c r="BM198" s="31" t="s">
        <v>201</v>
      </c>
      <c r="BN198" s="31" t="s">
        <v>201</v>
      </c>
      <c r="BO198" s="60" t="s">
        <v>167</v>
      </c>
      <c r="BP198" s="60" t="s">
        <v>203</v>
      </c>
      <c r="BQ198" s="60" t="s">
        <v>170</v>
      </c>
      <c r="BR198" s="60" t="s">
        <v>230</v>
      </c>
      <c r="BS198" s="60"/>
      <c r="BT198" s="60"/>
      <c r="BU198" s="60" t="s">
        <v>171</v>
      </c>
      <c r="BV198" s="60" t="s">
        <v>171</v>
      </c>
      <c r="BW198" s="60" t="s">
        <v>172</v>
      </c>
      <c r="BX198" s="60" t="s">
        <v>172</v>
      </c>
      <c r="BY198" s="60">
        <v>-29</v>
      </c>
      <c r="BZ198" s="60">
        <v>-1</v>
      </c>
      <c r="CA198" s="60" t="s">
        <v>173</v>
      </c>
      <c r="CB198" s="60" t="s">
        <v>550</v>
      </c>
      <c r="CC198" s="60" t="s">
        <v>551</v>
      </c>
      <c r="CD198" s="60"/>
      <c r="CE198" s="60"/>
      <c r="CF198" s="60"/>
      <c r="CG198" s="60">
        <v>160</v>
      </c>
      <c r="CH198" s="60">
        <v>200</v>
      </c>
      <c r="CI198" s="19">
        <v>1.2</v>
      </c>
      <c r="CJ198" s="19">
        <v>2.5</v>
      </c>
      <c r="CK198" s="19">
        <v>1</v>
      </c>
      <c r="CL198" s="19">
        <v>2</v>
      </c>
      <c r="CM198" s="17" t="s">
        <v>525</v>
      </c>
      <c r="CN198" s="20">
        <v>2</v>
      </c>
      <c r="CO198" s="20">
        <v>15</v>
      </c>
      <c r="CP198" s="17" t="s">
        <v>552</v>
      </c>
      <c r="CQ198" s="17" t="s">
        <v>553</v>
      </c>
      <c r="CR198" s="21">
        <v>0</v>
      </c>
      <c r="CS198" s="21">
        <v>5</v>
      </c>
      <c r="CT198" s="21">
        <v>10</v>
      </c>
      <c r="CU198" s="21">
        <v>5</v>
      </c>
      <c r="CV198" s="21">
        <v>6</v>
      </c>
      <c r="CW198" s="21">
        <v>15</v>
      </c>
      <c r="CX198" s="21">
        <v>6</v>
      </c>
      <c r="CY198" s="21">
        <v>20</v>
      </c>
      <c r="CZ198" s="21">
        <v>8</v>
      </c>
      <c r="DA198" s="21">
        <v>0</v>
      </c>
      <c r="DB198" s="21">
        <v>80</v>
      </c>
      <c r="DC198" s="21">
        <v>100</v>
      </c>
      <c r="DD198" s="21">
        <v>30</v>
      </c>
      <c r="DE198" s="21">
        <v>40</v>
      </c>
      <c r="DF198" s="21">
        <v>120</v>
      </c>
      <c r="DG198" s="21">
        <v>40</v>
      </c>
      <c r="DH198" s="21">
        <v>400</v>
      </c>
      <c r="DI198" s="21">
        <v>80</v>
      </c>
      <c r="DJ198" s="17" t="s">
        <v>554</v>
      </c>
      <c r="DK198" s="17" t="s">
        <v>409</v>
      </c>
      <c r="DL198" s="22">
        <v>150</v>
      </c>
      <c r="DM198" s="17" t="s">
        <v>555</v>
      </c>
      <c r="DN198" s="25" t="s">
        <v>183</v>
      </c>
      <c r="DO198" s="24" t="s">
        <v>182</v>
      </c>
      <c r="DP198" s="24" t="s">
        <v>182</v>
      </c>
      <c r="DQ198" s="23"/>
      <c r="DR198" s="23"/>
      <c r="DS198" s="23"/>
      <c r="DT198" s="23"/>
      <c r="DU198" s="23"/>
      <c r="DV198" s="23"/>
      <c r="DW198" s="24" t="s">
        <v>182</v>
      </c>
      <c r="DX198" s="25" t="s">
        <v>183</v>
      </c>
      <c r="DY198" s="25" t="s">
        <v>183</v>
      </c>
      <c r="DZ198" s="17" t="s">
        <v>556</v>
      </c>
      <c r="EA198" s="17" t="s">
        <v>557</v>
      </c>
      <c r="EB198" s="52" t="s">
        <v>301</v>
      </c>
      <c r="EC198" s="17" t="s">
        <v>558</v>
      </c>
      <c r="ED198" s="27" t="s">
        <v>496</v>
      </c>
      <c r="EE198" s="22">
        <v>3</v>
      </c>
      <c r="EF198" s="54" t="s">
        <v>304</v>
      </c>
    </row>
  </sheetData>
  <autoFilter ref="A2:EF198" xr:uid="{00000000-0009-0000-0000-000000000000}">
    <sortState xmlns:xlrd2="http://schemas.microsoft.com/office/spreadsheetml/2017/richdata2" ref="A3:EF198">
      <sortCondition descending="1" ref="R2:R198"/>
    </sortState>
  </autoFilter>
  <mergeCells count="7">
    <mergeCell ref="DN1:EA1"/>
    <mergeCell ref="EB1:EF1"/>
    <mergeCell ref="CI1:CM1"/>
    <mergeCell ref="CN1:CQ1"/>
    <mergeCell ref="CR1:CZ1"/>
    <mergeCell ref="DA1:DI1"/>
    <mergeCell ref="DK1:DM1"/>
  </mergeCells>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1B09E-D9BD-4C3C-AB17-28212E5444F0}">
  <dimension ref="A1:X199"/>
  <sheetViews>
    <sheetView workbookViewId="0">
      <selection activeCell="N2" sqref="N2"/>
    </sheetView>
  </sheetViews>
  <sheetFormatPr defaultRowHeight="15" x14ac:dyDescent="0.25"/>
  <sheetData>
    <row r="1" spans="1:24" x14ac:dyDescent="0.25">
      <c r="A1" t="s">
        <v>2645</v>
      </c>
      <c r="B1" t="s">
        <v>2646</v>
      </c>
      <c r="C1" t="s">
        <v>2651</v>
      </c>
      <c r="D1" t="s">
        <v>51</v>
      </c>
      <c r="E1" t="s">
        <v>2642</v>
      </c>
      <c r="F1" t="s">
        <v>2643</v>
      </c>
      <c r="G1" t="s">
        <v>2647</v>
      </c>
      <c r="H1" t="s">
        <v>2644</v>
      </c>
      <c r="I1" t="s">
        <v>2648</v>
      </c>
      <c r="J1" t="s">
        <v>2649</v>
      </c>
      <c r="K1" t="s">
        <v>2650</v>
      </c>
      <c r="N1" t="str" cm="1">
        <f t="array" ref="N1:X92">_xlfn._xlws.FILTER(A2:K199,C2:C199 = "perennial")</f>
        <v>Brazil Nut</v>
      </c>
      <c r="O1" t="str">
        <v>Bertholletia excelsa</v>
      </c>
      <c r="P1" t="str">
        <v>perennial</v>
      </c>
      <c r="Q1" t="str">
        <v>tree</v>
      </c>
      <c r="R1">
        <v>0</v>
      </c>
      <c r="S1" t="str">
        <v>heavy, medium</v>
      </c>
      <c r="T1">
        <v>2600</v>
      </c>
      <c r="U1">
        <v>50</v>
      </c>
      <c r="V1" t="str">
        <v>evergreen</v>
      </c>
      <c r="W1" t="str">
        <v>well (dry spells)</v>
      </c>
      <c r="X1" t="str">
        <v>light shade</v>
      </c>
    </row>
    <row r="2" spans="1:24" x14ac:dyDescent="0.25">
      <c r="A2" t="str" cm="1">
        <f t="array" ref="A2:A199">Sheet1!A3:A200</f>
        <v>Brazil Nut</v>
      </c>
      <c r="B2" t="str" cm="1">
        <f t="array" ref="B2:B199">Sheet1!AC3:AC200</f>
        <v>Bertholletia excelsa</v>
      </c>
      <c r="C2" t="str" cm="1">
        <f t="array" ref="C2:C199">Sheet1!AL3:AL200</f>
        <v>perennial</v>
      </c>
      <c r="D2" t="str" cm="1">
        <f t="array" ref="D2:D199">Sheet1!AJ3:AJ200</f>
        <v>tree</v>
      </c>
      <c r="F2" t="str" cm="1">
        <f t="array" ref="F2:F199">Sheet1!BO3:BO200</f>
        <v>heavy, medium</v>
      </c>
      <c r="G2" cm="1">
        <f t="array" ref="G2:G199">(Sheet1!AV3:AV200+Sheet1!AW3:AW200)*0.5</f>
        <v>2600</v>
      </c>
      <c r="H2" s="61" cm="1">
        <f t="array" ref="H2:H199">Sheet1!CJ3:CJ200</f>
        <v>50</v>
      </c>
      <c r="I2" t="str">
        <f>IF(ISNUMBER(SEARCH("evergreen",Sheet1!AN3)),
    "evergreen",
    IF(ISNUMBER(SEARCH("deciduous",Sheet1!AN3)),
        "deciduous",
        ""
    )
)</f>
        <v>evergreen</v>
      </c>
      <c r="J2" t="str" cm="1">
        <f t="array" ref="J2:J199">Sheet1!BW3:BW200</f>
        <v>well (dry spells)</v>
      </c>
      <c r="K2" t="str" cm="1">
        <f t="array" ref="K2:K199">Sheet1!BL3:BL200</f>
        <v>light shade</v>
      </c>
      <c r="N2" t="str">
        <v>Cashew</v>
      </c>
      <c r="O2" t="str">
        <v>Anacardium occidentale</v>
      </c>
      <c r="P2" t="str">
        <v>perennial</v>
      </c>
      <c r="Q2" t="str">
        <v>shrub, tree</v>
      </c>
      <c r="R2">
        <v>0</v>
      </c>
      <c r="S2" t="str">
        <v>medium, light</v>
      </c>
      <c r="T2">
        <v>1175</v>
      </c>
      <c r="U2">
        <v>12</v>
      </c>
      <c r="V2" t="str">
        <v>evergreen</v>
      </c>
      <c r="W2" t="str">
        <v>well (dry spells)</v>
      </c>
      <c r="X2" t="str">
        <v>clear skies</v>
      </c>
    </row>
    <row r="3" spans="1:24" x14ac:dyDescent="0.25">
      <c r="A3" t="str">
        <v>Chickpea</v>
      </c>
      <c r="B3" t="str">
        <v>Cicer arietinum</v>
      </c>
      <c r="C3" t="str">
        <v>annual</v>
      </c>
      <c r="D3" t="str">
        <v>herb</v>
      </c>
      <c r="F3" t="str">
        <v>heavy, medium</v>
      </c>
      <c r="G3">
        <v>800</v>
      </c>
      <c r="H3">
        <v>0.8</v>
      </c>
      <c r="I3" t="str">
        <f>IF(ISNUMBER(SEARCH("evergreen",Sheet1!AN4)),
    "evergreen",
    IF(ISNUMBER(SEARCH("deciduous",Sheet1!AN4)),
        "deciduous",
        ""
    )
)</f>
        <v/>
      </c>
      <c r="J3" t="str">
        <v>well (dry spells)</v>
      </c>
      <c r="K3" t="str">
        <v>clear skies</v>
      </c>
      <c r="N3" t="str">
        <v>Macadamia</v>
      </c>
      <c r="O3" t="str">
        <v>Macadamia integrifolia</v>
      </c>
      <c r="P3" t="str">
        <v>perennial</v>
      </c>
      <c r="Q3" t="str">
        <v>tree</v>
      </c>
      <c r="R3">
        <v>0</v>
      </c>
      <c r="S3" t="str">
        <v>medium, light, organic</v>
      </c>
      <c r="T3">
        <v>2000</v>
      </c>
      <c r="U3">
        <v>18</v>
      </c>
      <c r="V3" t="str">
        <v>evergreen</v>
      </c>
      <c r="W3" t="str">
        <v>well (dry spells)</v>
      </c>
      <c r="X3" t="str">
        <v>very bright</v>
      </c>
    </row>
    <row r="4" spans="1:24" x14ac:dyDescent="0.25">
      <c r="A4" t="str">
        <v>Hemp Seed</v>
      </c>
      <c r="B4">
        <v>0</v>
      </c>
      <c r="C4">
        <v>0</v>
      </c>
      <c r="D4">
        <v>0</v>
      </c>
      <c r="F4">
        <v>0</v>
      </c>
      <c r="G4">
        <v>0</v>
      </c>
      <c r="H4">
        <v>5</v>
      </c>
      <c r="I4" t="str">
        <f>IF(ISNUMBER(SEARCH("evergreen",Sheet1!AN5)),
    "evergreen",
    IF(ISNUMBER(SEARCH("deciduous",Sheet1!AN5)),
        "deciduous",
        ""
    )
)</f>
        <v/>
      </c>
      <c r="J4">
        <v>0</v>
      </c>
      <c r="K4">
        <v>0</v>
      </c>
      <c r="N4" t="str">
        <v>Coconut</v>
      </c>
      <c r="O4" t="str">
        <v>Cocos nucifera</v>
      </c>
      <c r="P4" t="str">
        <v>perennial</v>
      </c>
      <c r="Q4" t="str">
        <v>tree</v>
      </c>
      <c r="R4">
        <v>0</v>
      </c>
      <c r="S4" t="str">
        <v>medium, light</v>
      </c>
      <c r="T4">
        <v>1800</v>
      </c>
      <c r="U4">
        <v>30</v>
      </c>
      <c r="V4" t="str">
        <v>evergreen</v>
      </c>
      <c r="W4" t="str">
        <v>well (dry spells)</v>
      </c>
      <c r="X4" t="str">
        <v>cloudy skies</v>
      </c>
    </row>
    <row r="5" spans="1:24" x14ac:dyDescent="0.25">
      <c r="A5" t="str">
        <v>Cashew</v>
      </c>
      <c r="B5" t="str">
        <v>Anacardium occidentale</v>
      </c>
      <c r="C5" t="str">
        <v>perennial</v>
      </c>
      <c r="D5" t="str">
        <v>shrub, tree</v>
      </c>
      <c r="F5" t="str">
        <v>medium, light</v>
      </c>
      <c r="G5">
        <v>1175</v>
      </c>
      <c r="H5">
        <v>12</v>
      </c>
      <c r="I5" t="str">
        <f>IF(ISNUMBER(SEARCH("evergreen",Sheet1!AN6)),
    "evergreen",
    IF(ISNUMBER(SEARCH("deciduous",Sheet1!AN6)),
        "deciduous",
        ""
    )
)</f>
        <v>evergreen</v>
      </c>
      <c r="J5" t="str">
        <v>well (dry spells)</v>
      </c>
      <c r="K5" t="str">
        <v>clear skies</v>
      </c>
      <c r="N5" t="str">
        <v>Pistachio</v>
      </c>
      <c r="O5" t="str">
        <v>Pistacia vera</v>
      </c>
      <c r="P5" t="str">
        <v>perennial</v>
      </c>
      <c r="Q5" t="str">
        <v>tree</v>
      </c>
      <c r="R5">
        <v>0</v>
      </c>
      <c r="S5" t="str">
        <v>medium, light</v>
      </c>
      <c r="T5">
        <v>550</v>
      </c>
      <c r="U5">
        <v>10</v>
      </c>
      <c r="V5" t="str">
        <v>deciduous</v>
      </c>
      <c r="W5" t="str">
        <v>well (dry spells)</v>
      </c>
      <c r="X5" t="str">
        <v>very bright</v>
      </c>
    </row>
    <row r="6" spans="1:24" x14ac:dyDescent="0.25">
      <c r="A6" t="str">
        <v>Wattle Seed (Native)</v>
      </c>
      <c r="B6">
        <v>0</v>
      </c>
      <c r="C6">
        <v>0</v>
      </c>
      <c r="D6">
        <v>0</v>
      </c>
      <c r="F6">
        <v>0</v>
      </c>
      <c r="G6">
        <v>0</v>
      </c>
      <c r="H6">
        <v>8</v>
      </c>
      <c r="I6" t="str">
        <f>IF(ISNUMBER(SEARCH("evergreen",Sheet1!AN7)),
    "evergreen",
    IF(ISNUMBER(SEARCH("deciduous",Sheet1!AN7)),
        "deciduous",
        ""
    )
)</f>
        <v/>
      </c>
      <c r="J6">
        <v>0</v>
      </c>
      <c r="K6">
        <v>0</v>
      </c>
      <c r="N6" t="str">
        <v>Date Palm</v>
      </c>
      <c r="O6" t="str">
        <v>Phoenix dactylifera</v>
      </c>
      <c r="P6" t="str">
        <v>perennial</v>
      </c>
      <c r="Q6" t="str">
        <v>tree</v>
      </c>
      <c r="R6">
        <v>0</v>
      </c>
      <c r="S6" t="str">
        <v>medium, light</v>
      </c>
      <c r="T6">
        <v>250</v>
      </c>
      <c r="U6">
        <v>25</v>
      </c>
      <c r="V6" t="str">
        <v>evergreen</v>
      </c>
      <c r="W6" t="str">
        <v>well (dry spells)</v>
      </c>
      <c r="X6" t="str">
        <v>very bright</v>
      </c>
    </row>
    <row r="7" spans="1:24" x14ac:dyDescent="0.25">
      <c r="A7" t="str">
        <v>Amaranth (Grain)</v>
      </c>
      <c r="B7" t="str">
        <v>Amaranthus caudatus</v>
      </c>
      <c r="C7" t="str">
        <v>annual</v>
      </c>
      <c r="D7" t="str">
        <v>herb</v>
      </c>
      <c r="F7" t="str">
        <v>light, organic</v>
      </c>
      <c r="G7">
        <v>1550</v>
      </c>
      <c r="H7">
        <v>3</v>
      </c>
      <c r="I7" t="str">
        <f>IF(ISNUMBER(SEARCH("evergreen",Sheet1!AN8)),
    "evergreen",
    IF(ISNUMBER(SEARCH("deciduous",Sheet1!AN8)),
        "deciduous",
        ""
    )
)</f>
        <v/>
      </c>
      <c r="J7" t="str">
        <v>well (dry spells)</v>
      </c>
      <c r="K7" t="str">
        <v>cloudy skies</v>
      </c>
      <c r="N7" t="str">
        <v>Walnut</v>
      </c>
      <c r="O7" t="str">
        <v>Juglans regia</v>
      </c>
      <c r="P7" t="str">
        <v>perennial</v>
      </c>
      <c r="Q7" t="str">
        <v>tree</v>
      </c>
      <c r="R7">
        <v>0</v>
      </c>
      <c r="S7" t="str">
        <v>medium</v>
      </c>
      <c r="T7">
        <v>1250</v>
      </c>
      <c r="U7">
        <v>25</v>
      </c>
      <c r="V7" t="str">
        <v>deciduous</v>
      </c>
      <c r="W7" t="str">
        <v>well (dry spells)</v>
      </c>
      <c r="X7" t="str">
        <v>cloudy skies</v>
      </c>
    </row>
    <row r="8" spans="1:24" x14ac:dyDescent="0.25">
      <c r="A8" t="str">
        <v>Triticale</v>
      </c>
      <c r="B8">
        <v>0</v>
      </c>
      <c r="C8">
        <v>0</v>
      </c>
      <c r="D8">
        <v>0</v>
      </c>
      <c r="F8">
        <v>0</v>
      </c>
      <c r="G8">
        <v>0</v>
      </c>
      <c r="H8">
        <v>1.8</v>
      </c>
      <c r="I8" t="str">
        <f>IF(ISNUMBER(SEARCH("evergreen",Sheet1!AN9)),
    "evergreen",
    IF(ISNUMBER(SEARCH("deciduous",Sheet1!AN9)),
        "deciduous",
        ""
    )
)</f>
        <v/>
      </c>
      <c r="J8">
        <v>0</v>
      </c>
      <c r="K8">
        <v>0</v>
      </c>
      <c r="N8" t="str">
        <v>Pecan</v>
      </c>
      <c r="O8" t="str">
        <v>Carya illinoensis</v>
      </c>
      <c r="P8" t="str">
        <v>perennial</v>
      </c>
      <c r="Q8" t="str">
        <v>tree</v>
      </c>
      <c r="R8">
        <v>0</v>
      </c>
      <c r="S8" t="str">
        <v>medium, light</v>
      </c>
      <c r="T8">
        <v>900</v>
      </c>
      <c r="U8">
        <v>45</v>
      </c>
      <c r="V8" t="str">
        <v>deciduous</v>
      </c>
      <c r="W8" t="str">
        <v>well (dry spells)</v>
      </c>
      <c r="X8" t="str">
        <v>clear skies</v>
      </c>
    </row>
    <row r="9" spans="1:24" x14ac:dyDescent="0.25">
      <c r="A9" t="str">
        <v>Sesame Seed</v>
      </c>
      <c r="B9">
        <v>0</v>
      </c>
      <c r="C9">
        <v>0</v>
      </c>
      <c r="D9">
        <v>0</v>
      </c>
      <c r="F9">
        <v>0</v>
      </c>
      <c r="G9">
        <v>0</v>
      </c>
      <c r="H9">
        <v>1.5</v>
      </c>
      <c r="I9" t="str">
        <f>IF(ISNUMBER(SEARCH("evergreen",Sheet1!AN10)),
    "evergreen",
    IF(ISNUMBER(SEARCH("deciduous",Sheet1!AN10)),
        "deciduous",
        ""
    )
)</f>
        <v/>
      </c>
      <c r="J9">
        <v>0</v>
      </c>
      <c r="K9">
        <v>0</v>
      </c>
      <c r="N9" t="str">
        <v>Winged Bean</v>
      </c>
      <c r="O9" t="str">
        <v>Psophocarpus tetragonolobus</v>
      </c>
      <c r="P9" t="str">
        <v>perennial</v>
      </c>
      <c r="Q9" t="str">
        <v>herb, vine</v>
      </c>
      <c r="R9">
        <v>0</v>
      </c>
      <c r="S9" t="str">
        <v>medium, organic</v>
      </c>
      <c r="T9">
        <v>1750</v>
      </c>
      <c r="U9">
        <v>4</v>
      </c>
      <c r="V9" t="str">
        <v/>
      </c>
      <c r="W9" t="str">
        <v>well (dry spells)</v>
      </c>
      <c r="X9" t="str">
        <v>cloudy skies</v>
      </c>
    </row>
    <row r="10" spans="1:24" x14ac:dyDescent="0.25">
      <c r="A10" t="str">
        <v>Linseed / Flaxseed</v>
      </c>
      <c r="B10">
        <v>0</v>
      </c>
      <c r="C10">
        <v>0</v>
      </c>
      <c r="D10">
        <v>0</v>
      </c>
      <c r="F10">
        <v>0</v>
      </c>
      <c r="G10">
        <v>0</v>
      </c>
      <c r="H10">
        <v>1.2</v>
      </c>
      <c r="I10" t="str">
        <f>IF(ISNUMBER(SEARCH("evergreen",Sheet1!AN11)),
    "evergreen",
    IF(ISNUMBER(SEARCH("deciduous",Sheet1!AN11)),
        "deciduous",
        ""
    )
)</f>
        <v/>
      </c>
      <c r="J10">
        <v>0</v>
      </c>
      <c r="K10">
        <v>0</v>
      </c>
      <c r="N10" t="str">
        <v>Almond</v>
      </c>
      <c r="O10" t="str">
        <v>Prunus amygdalus</v>
      </c>
      <c r="P10" t="str">
        <v>perennial</v>
      </c>
      <c r="Q10" t="str">
        <v>tree</v>
      </c>
      <c r="R10">
        <v>0</v>
      </c>
      <c r="S10" t="str">
        <v>medium</v>
      </c>
      <c r="T10">
        <v>750</v>
      </c>
      <c r="U10">
        <v>10</v>
      </c>
      <c r="V10" t="str">
        <v>deciduous</v>
      </c>
      <c r="W10" t="str">
        <v>well (dry spells)</v>
      </c>
      <c r="X10" t="str">
        <v>very bright</v>
      </c>
    </row>
    <row r="11" spans="1:24" x14ac:dyDescent="0.25">
      <c r="A11" t="str">
        <v>Mushroom</v>
      </c>
      <c r="B11">
        <v>0</v>
      </c>
      <c r="C11">
        <v>0</v>
      </c>
      <c r="D11">
        <v>0</v>
      </c>
      <c r="F11">
        <v>0</v>
      </c>
      <c r="G11">
        <v>0</v>
      </c>
      <c r="H11">
        <v>0.15</v>
      </c>
      <c r="I11" t="str">
        <f>IF(ISNUMBER(SEARCH("evergreen",Sheet1!AN12)),
    "evergreen",
    IF(ISNUMBER(SEARCH("deciduous",Sheet1!AN12)),
        "deciduous",
        ""
    )
)</f>
        <v/>
      </c>
      <c r="J11">
        <v>0</v>
      </c>
      <c r="K11">
        <v>0</v>
      </c>
      <c r="N11" t="str">
        <v>Pigeon Pea</v>
      </c>
      <c r="O11" t="str">
        <v>Cajanus cajan</v>
      </c>
      <c r="P11" t="str">
        <v>perennial</v>
      </c>
      <c r="Q11" t="str">
        <v>shrub</v>
      </c>
      <c r="R11">
        <v>0</v>
      </c>
      <c r="S11" t="str">
        <v>medium, light</v>
      </c>
      <c r="T11">
        <v>1050</v>
      </c>
      <c r="U11">
        <v>4</v>
      </c>
      <c r="V11" t="str">
        <v/>
      </c>
      <c r="W11" t="str">
        <v>well (dry spells)</v>
      </c>
      <c r="X11" t="str">
        <v>clear skies</v>
      </c>
    </row>
    <row r="12" spans="1:24" x14ac:dyDescent="0.25">
      <c r="A12" t="str">
        <v>Barley (Pearl)</v>
      </c>
      <c r="B12" t="str">
        <v>Hordeum vulgare</v>
      </c>
      <c r="C12" t="str">
        <v>annual</v>
      </c>
      <c r="D12" t="str">
        <v>grass</v>
      </c>
      <c r="F12" t="str">
        <v>medium</v>
      </c>
      <c r="G12">
        <v>750</v>
      </c>
      <c r="H12">
        <v>1.2</v>
      </c>
      <c r="I12" t="str">
        <f>IF(ISNUMBER(SEARCH("evergreen",Sheet1!AN13)),
    "evergreen",
    IF(ISNUMBER(SEARCH("deciduous",Sheet1!AN13)),
        "deciduous",
        ""
    )
)</f>
        <v/>
      </c>
      <c r="J12" t="str">
        <v>well (dry spells)</v>
      </c>
      <c r="K12" t="str">
        <v>cloudy skies</v>
      </c>
      <c r="N12" t="str">
        <v>Tamarind</v>
      </c>
      <c r="O12" t="str">
        <v>Tamarindus indica</v>
      </c>
      <c r="P12" t="str">
        <v>perennial</v>
      </c>
      <c r="Q12" t="str">
        <v>tree</v>
      </c>
      <c r="R12">
        <v>0</v>
      </c>
      <c r="S12" t="str">
        <v>medium, light</v>
      </c>
      <c r="T12">
        <v>1900</v>
      </c>
      <c r="U12">
        <v>25</v>
      </c>
      <c r="V12" t="str">
        <v/>
      </c>
      <c r="W12" t="str">
        <v>well (dry spells)</v>
      </c>
      <c r="X12" t="str">
        <v>light shade</v>
      </c>
    </row>
    <row r="13" spans="1:24" x14ac:dyDescent="0.25">
      <c r="A13" t="str">
        <v>Lentil (Green)</v>
      </c>
      <c r="B13" t="str">
        <v>Lens culinaris</v>
      </c>
      <c r="C13" t="str">
        <v>annual</v>
      </c>
      <c r="D13" t="str">
        <v>herb</v>
      </c>
      <c r="F13" t="str">
        <v>heavy, medium</v>
      </c>
      <c r="G13">
        <v>800</v>
      </c>
      <c r="H13">
        <v>0.8</v>
      </c>
      <c r="I13" t="str">
        <f>IF(ISNUMBER(SEARCH("evergreen",Sheet1!AN14)),
    "evergreen",
    IF(ISNUMBER(SEARCH("deciduous",Sheet1!AN14)),
        "deciduous",
        ""
    )
)</f>
        <v/>
      </c>
      <c r="J13" t="str">
        <v>well (dry spells)</v>
      </c>
      <c r="K13" t="str">
        <v>cloudy skies</v>
      </c>
      <c r="N13" t="str">
        <v>Kiwifruit (Green)</v>
      </c>
      <c r="O13" t="str">
        <v>Actinidia chinensis</v>
      </c>
      <c r="P13" t="str">
        <v>perennial</v>
      </c>
      <c r="Q13" t="str">
        <v>vine, shrub</v>
      </c>
      <c r="R13">
        <v>0</v>
      </c>
      <c r="S13" t="str">
        <v>light, organic</v>
      </c>
      <c r="T13">
        <v>1100</v>
      </c>
      <c r="U13">
        <v>0.5</v>
      </c>
      <c r="V13" t="str">
        <v>deciduous</v>
      </c>
      <c r="W13" t="str">
        <v>well (dry spells)</v>
      </c>
      <c r="X13" t="str">
        <v>clear skies</v>
      </c>
    </row>
    <row r="14" spans="1:24" x14ac:dyDescent="0.25">
      <c r="A14" t="str">
        <v>Wheat (Whole)</v>
      </c>
      <c r="B14" t="str">
        <v>Triticum aestivum</v>
      </c>
      <c r="C14" t="str">
        <v>annual</v>
      </c>
      <c r="D14" t="str">
        <v>grass</v>
      </c>
      <c r="F14" t="str">
        <v>medium, organic</v>
      </c>
      <c r="G14">
        <v>825</v>
      </c>
      <c r="H14">
        <v>1.2</v>
      </c>
      <c r="I14" t="str">
        <f>IF(ISNUMBER(SEARCH("evergreen",Sheet1!AN15)),
    "evergreen",
    IF(ISNUMBER(SEARCH("deciduous",Sheet1!AN15)),
        "deciduous",
        ""
    )
)</f>
        <v/>
      </c>
      <c r="J14" t="str">
        <v>well (dry spells)</v>
      </c>
      <c r="K14" t="str">
        <v>very bright</v>
      </c>
      <c r="N14" t="str">
        <v>Rhubarb</v>
      </c>
      <c r="O14" t="str">
        <v>Rheum rhaponticum</v>
      </c>
      <c r="P14" t="str">
        <v>perennial</v>
      </c>
      <c r="Q14" t="str">
        <v>herb</v>
      </c>
      <c r="R14">
        <v>0</v>
      </c>
      <c r="S14" t="str">
        <v>medium, organic</v>
      </c>
      <c r="T14">
        <v>1050</v>
      </c>
      <c r="U14">
        <v>1.8</v>
      </c>
      <c r="V14" t="str">
        <v/>
      </c>
      <c r="W14" t="str">
        <v>well (dry spells)</v>
      </c>
      <c r="X14" t="str">
        <v>cloudy skies</v>
      </c>
    </row>
    <row r="15" spans="1:24" x14ac:dyDescent="0.25">
      <c r="A15" t="str">
        <v>Sorghum</v>
      </c>
      <c r="B15">
        <v>0</v>
      </c>
      <c r="C15">
        <v>0</v>
      </c>
      <c r="D15">
        <v>0</v>
      </c>
      <c r="F15">
        <v>0</v>
      </c>
      <c r="G15">
        <v>0</v>
      </c>
      <c r="H15">
        <v>3.5</v>
      </c>
      <c r="I15" t="str">
        <f>IF(ISNUMBER(SEARCH("evergreen",Sheet1!AN16)),
    "evergreen",
    IF(ISNUMBER(SEARCH("deciduous",Sheet1!AN16)),
        "deciduous",
        ""
    )
)</f>
        <v/>
      </c>
      <c r="J15">
        <v>0</v>
      </c>
      <c r="K15">
        <v>0</v>
      </c>
      <c r="N15" t="str">
        <v>Hazelnut</v>
      </c>
      <c r="O15" t="str">
        <v>Corylus avellana</v>
      </c>
      <c r="P15" t="str">
        <v>perennial</v>
      </c>
      <c r="Q15" t="str">
        <v>shrub, tree</v>
      </c>
      <c r="R15">
        <v>0</v>
      </c>
      <c r="S15" t="str">
        <v>medium</v>
      </c>
      <c r="T15">
        <v>1000</v>
      </c>
      <c r="U15">
        <v>8</v>
      </c>
      <c r="V15" t="str">
        <v>deciduous</v>
      </c>
      <c r="W15" t="str">
        <v>well (dry spells)</v>
      </c>
      <c r="X15" t="str">
        <v>clear skies</v>
      </c>
    </row>
    <row r="16" spans="1:24" x14ac:dyDescent="0.25">
      <c r="A16" t="str">
        <v>Pumpkin Seed</v>
      </c>
      <c r="B16" t="str">
        <v>Cucurbita maxima</v>
      </c>
      <c r="C16" t="str">
        <v>annual</v>
      </c>
      <c r="D16" t="str">
        <v>vine</v>
      </c>
      <c r="F16" t="str">
        <v>heavy, medium, light, organic</v>
      </c>
      <c r="G16">
        <v>800</v>
      </c>
      <c r="H16">
        <v>0.6</v>
      </c>
      <c r="I16" t="str">
        <f>IF(ISNUMBER(SEARCH("evergreen",Sheet1!AN17)),
    "evergreen",
    IF(ISNUMBER(SEARCH("deciduous",Sheet1!AN17)),
        "deciduous",
        ""
    )
)</f>
        <v/>
      </c>
      <c r="J16" t="str">
        <v>well (dry spells)</v>
      </c>
      <c r="K16" t="str">
        <v>cloudy skies</v>
      </c>
      <c r="N16" t="str">
        <v>Blackberry</v>
      </c>
      <c r="O16" t="str">
        <v>Rubus sp.</v>
      </c>
      <c r="P16" t="str">
        <v>perennial</v>
      </c>
      <c r="Q16" t="str">
        <v>shrub</v>
      </c>
      <c r="R16">
        <v>0</v>
      </c>
      <c r="S16" t="str">
        <v>heavy, medium, light</v>
      </c>
      <c r="T16">
        <v>1600</v>
      </c>
      <c r="U16">
        <v>3</v>
      </c>
      <c r="V16" t="str">
        <v>deciduous</v>
      </c>
      <c r="W16" t="str">
        <v>well (dry spells)</v>
      </c>
      <c r="X16" t="str">
        <v>cloudy skies</v>
      </c>
    </row>
    <row r="17" spans="1:24" x14ac:dyDescent="0.25">
      <c r="A17" t="str">
        <v>Garlic</v>
      </c>
      <c r="B17" t="str">
        <v>Allium sativum</v>
      </c>
      <c r="C17" t="str">
        <v>biennial</v>
      </c>
      <c r="D17" t="str">
        <v>herb</v>
      </c>
      <c r="F17" t="str">
        <v>medium, light</v>
      </c>
      <c r="G17">
        <v>1175</v>
      </c>
      <c r="H17">
        <v>0.8</v>
      </c>
      <c r="I17" t="str">
        <f>IF(ISNUMBER(SEARCH("evergreen",Sheet1!AN18)),
    "evergreen",
    IF(ISNUMBER(SEARCH("deciduous",Sheet1!AN18)),
        "deciduous",
        ""
    )
)</f>
        <v/>
      </c>
      <c r="J17" t="str">
        <v>well (dry spells)</v>
      </c>
      <c r="K17" t="str">
        <v>cloudy skies</v>
      </c>
      <c r="N17" t="str">
        <v>Pine Nut</v>
      </c>
      <c r="O17" t="str">
        <v>Pinus pinea</v>
      </c>
      <c r="P17" t="str">
        <v>perennial</v>
      </c>
      <c r="Q17" t="str">
        <v>tree</v>
      </c>
      <c r="R17">
        <v>0</v>
      </c>
      <c r="S17" t="str">
        <v>medium, light</v>
      </c>
      <c r="T17">
        <v>600</v>
      </c>
      <c r="U17">
        <v>25</v>
      </c>
      <c r="V17" t="str">
        <v>evergreen</v>
      </c>
      <c r="W17" t="str">
        <v>well (dry spells)</v>
      </c>
      <c r="X17" t="str">
        <v>clear skies</v>
      </c>
    </row>
    <row r="18" spans="1:24" x14ac:dyDescent="0.25">
      <c r="A18" t="str">
        <v>Spelt</v>
      </c>
      <c r="B18" t="str">
        <v>Triticum spelta</v>
      </c>
      <c r="C18" t="str">
        <v>annual</v>
      </c>
      <c r="D18" t="str">
        <v>grass</v>
      </c>
      <c r="F18" t="str">
        <v>light</v>
      </c>
      <c r="G18">
        <v>850</v>
      </c>
      <c r="H18">
        <v>1.5</v>
      </c>
      <c r="I18" t="str">
        <f>IF(ISNUMBER(SEARCH("evergreen",Sheet1!AN19)),
    "evergreen",
    IF(ISNUMBER(SEARCH("deciduous",Sheet1!AN19)),
        "deciduous",
        ""
    )
)</f>
        <v/>
      </c>
      <c r="J18" t="str">
        <v>well (dry spells)</v>
      </c>
      <c r="K18" t="str">
        <v>cloudy skies</v>
      </c>
      <c r="N18" t="str">
        <v>Strawberry</v>
      </c>
      <c r="O18" t="str">
        <v>Fragaria x ananassa</v>
      </c>
      <c r="P18" t="str">
        <v>perennial</v>
      </c>
      <c r="Q18" t="str">
        <v>herb</v>
      </c>
      <c r="R18">
        <v>0</v>
      </c>
      <c r="S18" t="str">
        <v>medium, organic</v>
      </c>
      <c r="T18">
        <v>750</v>
      </c>
      <c r="U18">
        <v>0.3</v>
      </c>
      <c r="V18" t="str">
        <v/>
      </c>
      <c r="W18" t="str">
        <v>well (dry spells)</v>
      </c>
      <c r="X18" t="str">
        <v>clear skies</v>
      </c>
    </row>
    <row r="19" spans="1:24" x14ac:dyDescent="0.25">
      <c r="A19" t="str">
        <v>Rice (Brown)</v>
      </c>
      <c r="B19" t="str">
        <v>Oryza sativa</v>
      </c>
      <c r="C19" t="str">
        <v>annual</v>
      </c>
      <c r="D19" t="str">
        <v>grass</v>
      </c>
      <c r="F19" t="str">
        <v>wide</v>
      </c>
      <c r="G19">
        <v>1750</v>
      </c>
      <c r="H19">
        <v>1.8</v>
      </c>
      <c r="I19" t="str">
        <f>IF(ISNUMBER(SEARCH("evergreen",Sheet1!AN20)),
    "evergreen",
    IF(ISNUMBER(SEARCH("deciduous",Sheet1!AN20)),
        "deciduous",
        ""
    )
)</f>
        <v/>
      </c>
      <c r="J19" t="str">
        <v>poorly (saturated &gt;50% of year)</v>
      </c>
      <c r="K19" t="str">
        <v>very bright</v>
      </c>
      <c r="N19" t="str">
        <v>Moringa (Horseradish Tree)</v>
      </c>
      <c r="O19" t="str">
        <v>Moringa oleifera</v>
      </c>
      <c r="P19" t="str">
        <v>perennial</v>
      </c>
      <c r="Q19" t="str">
        <v>shrub, tree</v>
      </c>
      <c r="R19">
        <v>0</v>
      </c>
      <c r="S19" t="str">
        <v>medium, light</v>
      </c>
      <c r="T19">
        <v>1450</v>
      </c>
      <c r="U19">
        <v>12</v>
      </c>
      <c r="V19" t="str">
        <v>deciduous</v>
      </c>
      <c r="W19" t="str">
        <v>well (dry spells)</v>
      </c>
      <c r="X19" t="str">
        <v>cloudy skies</v>
      </c>
    </row>
    <row r="20" spans="1:24" x14ac:dyDescent="0.25">
      <c r="A20" t="str">
        <v>Rice (White)</v>
      </c>
      <c r="B20" t="str">
        <v>Oryza sativa</v>
      </c>
      <c r="C20" t="str">
        <v>annual</v>
      </c>
      <c r="D20" t="str">
        <v>grass</v>
      </c>
      <c r="F20" t="str">
        <v>wide</v>
      </c>
      <c r="G20">
        <v>1750</v>
      </c>
      <c r="H20">
        <v>1.8</v>
      </c>
      <c r="I20" t="str">
        <f>IF(ISNUMBER(SEARCH("evergreen",Sheet1!AN21)),
    "evergreen",
    IF(ISNUMBER(SEARCH("deciduous",Sheet1!AN21)),
        "deciduous",
        ""
    )
)</f>
        <v/>
      </c>
      <c r="J20" t="str">
        <v>poorly (saturated &gt;50% of year)</v>
      </c>
      <c r="K20" t="str">
        <v>very bright</v>
      </c>
      <c r="N20" t="str">
        <v>Water Spinach</v>
      </c>
      <c r="O20" t="str">
        <v>Ipomoea aquatica</v>
      </c>
      <c r="P20" t="str">
        <v>perennial</v>
      </c>
      <c r="Q20" t="str">
        <v>herb, vine</v>
      </c>
      <c r="R20">
        <v>0</v>
      </c>
      <c r="S20" t="str">
        <v>heavy, organic</v>
      </c>
      <c r="T20">
        <v>2250</v>
      </c>
      <c r="U20">
        <v>1</v>
      </c>
      <c r="V20" t="str">
        <v>evergreen</v>
      </c>
      <c r="W20" t="str">
        <v>poorly (saturated &gt;50% of year)</v>
      </c>
      <c r="X20" t="str">
        <v>clear skies</v>
      </c>
    </row>
    <row r="21" spans="1:24" x14ac:dyDescent="0.25">
      <c r="A21" t="str">
        <v>Millet</v>
      </c>
      <c r="B21" t="str">
        <v>Pennisetum glaucum</v>
      </c>
      <c r="C21" t="str">
        <v>annual</v>
      </c>
      <c r="D21" t="str">
        <v>grass</v>
      </c>
      <c r="F21" t="str">
        <v>medium, light</v>
      </c>
      <c r="G21">
        <v>650</v>
      </c>
      <c r="H21">
        <v>3</v>
      </c>
      <c r="I21" t="str">
        <f>IF(ISNUMBER(SEARCH("evergreen",Sheet1!AN22)),
    "evergreen",
    IF(ISNUMBER(SEARCH("deciduous",Sheet1!AN22)),
        "deciduous",
        ""
    )
)</f>
        <v/>
      </c>
      <c r="J21" t="str">
        <v>well (dry spells)</v>
      </c>
      <c r="K21" t="str">
        <v>clear skies</v>
      </c>
      <c r="N21" t="str">
        <v>Sago</v>
      </c>
      <c r="O21" t="str">
        <v>Metroxylon sagu</v>
      </c>
      <c r="P21" t="str">
        <v>perennial</v>
      </c>
      <c r="Q21" t="str">
        <v>tree</v>
      </c>
      <c r="R21">
        <v>0</v>
      </c>
      <c r="S21" t="str">
        <v>heavy, medium</v>
      </c>
      <c r="T21">
        <v>3750</v>
      </c>
      <c r="U21">
        <v>15</v>
      </c>
      <c r="V21" t="str">
        <v>evergreen</v>
      </c>
      <c r="W21" t="str">
        <v>poorly (saturated &gt;50% of year)</v>
      </c>
      <c r="X21" t="str">
        <v>clear skies</v>
      </c>
    </row>
    <row r="22" spans="1:24" x14ac:dyDescent="0.25">
      <c r="A22" t="str">
        <v>Sorghum</v>
      </c>
      <c r="B22">
        <v>0</v>
      </c>
      <c r="C22">
        <v>0</v>
      </c>
      <c r="D22">
        <v>0</v>
      </c>
      <c r="F22">
        <v>0</v>
      </c>
      <c r="G22">
        <v>0</v>
      </c>
      <c r="H22">
        <v>3.5</v>
      </c>
      <c r="I22" t="str">
        <f>IF(ISNUMBER(SEARCH("evergreen",Sheet1!AN23)),
    "evergreen",
    IF(ISNUMBER(SEARCH("deciduous",Sheet1!AN23)),
        "deciduous",
        ""
    )
)</f>
        <v/>
      </c>
      <c r="J22">
        <v>0</v>
      </c>
      <c r="K22">
        <v>0</v>
      </c>
      <c r="N22" t="str">
        <v>Bamboo</v>
      </c>
      <c r="O22" t="str">
        <v>Bambusa blumeana</v>
      </c>
      <c r="P22" t="str">
        <v>perennial</v>
      </c>
      <c r="Q22" t="str">
        <v>grass</v>
      </c>
      <c r="R22">
        <v>0</v>
      </c>
      <c r="S22" t="str">
        <v>heavy</v>
      </c>
      <c r="T22">
        <v>2750</v>
      </c>
      <c r="U22">
        <v>30</v>
      </c>
      <c r="V22" t="str">
        <v/>
      </c>
      <c r="W22" t="str">
        <v>well (dry spells)</v>
      </c>
      <c r="X22" t="str">
        <v>very bright</v>
      </c>
    </row>
    <row r="23" spans="1:24" x14ac:dyDescent="0.25">
      <c r="A23" t="str">
        <v>Peanut</v>
      </c>
      <c r="B23" t="str">
        <v>Arachis hypogaea</v>
      </c>
      <c r="C23" t="str">
        <v>annual</v>
      </c>
      <c r="D23" t="str">
        <v>herb</v>
      </c>
      <c r="F23" t="str">
        <v>medium</v>
      </c>
      <c r="G23">
        <v>1050</v>
      </c>
      <c r="H23">
        <v>0.6</v>
      </c>
      <c r="I23" t="str">
        <f>IF(ISNUMBER(SEARCH("evergreen",Sheet1!AN24)),
    "evergreen",
    IF(ISNUMBER(SEARCH("deciduous",Sheet1!AN24)),
        "deciduous",
        ""
    )
)</f>
        <v/>
      </c>
      <c r="J23" t="str">
        <v>well (dry spells)</v>
      </c>
      <c r="K23" t="str">
        <v>clear skies</v>
      </c>
      <c r="N23" t="str">
        <v>Arrowroot</v>
      </c>
      <c r="O23" t="str">
        <v>Maranta arundinacea</v>
      </c>
      <c r="P23" t="str">
        <v>perennial</v>
      </c>
      <c r="Q23" t="str">
        <v>herb</v>
      </c>
      <c r="R23">
        <v>0</v>
      </c>
      <c r="S23" t="str">
        <v>medium</v>
      </c>
      <c r="T23">
        <v>1750</v>
      </c>
      <c r="U23">
        <v>1.8</v>
      </c>
      <c r="V23" t="str">
        <v/>
      </c>
      <c r="W23" t="str">
        <v>well (dry spells)</v>
      </c>
      <c r="X23" t="str">
        <v>light shade</v>
      </c>
    </row>
    <row r="24" spans="1:24" x14ac:dyDescent="0.25">
      <c r="A24" t="str">
        <v>Chia Seed</v>
      </c>
      <c r="B24">
        <v>0</v>
      </c>
      <c r="C24">
        <v>0</v>
      </c>
      <c r="D24">
        <v>0</v>
      </c>
      <c r="F24">
        <v>0</v>
      </c>
      <c r="G24">
        <v>0</v>
      </c>
      <c r="H24">
        <v>1.8</v>
      </c>
      <c r="I24" t="str">
        <f>IF(ISNUMBER(SEARCH("evergreen",Sheet1!AN25)),
    "evergreen",
    IF(ISNUMBER(SEARCH("deciduous",Sheet1!AN25)),
        "deciduous",
        ""
    )
)</f>
        <v/>
      </c>
      <c r="J24">
        <v>0</v>
      </c>
      <c r="K24">
        <v>0</v>
      </c>
      <c r="N24" t="str">
        <v>Yam</v>
      </c>
      <c r="O24" t="str">
        <v>Dioscorea alata</v>
      </c>
      <c r="P24" t="str">
        <v>perennial</v>
      </c>
      <c r="Q24" t="str">
        <v>vine</v>
      </c>
      <c r="R24">
        <v>0</v>
      </c>
      <c r="S24" t="str">
        <v>medium, light</v>
      </c>
      <c r="T24">
        <v>2600</v>
      </c>
      <c r="U24">
        <v>0.5</v>
      </c>
      <c r="V24" t="str">
        <v>deciduous</v>
      </c>
      <c r="W24" t="str">
        <v>well (dry spells)</v>
      </c>
      <c r="X24" t="str">
        <v>light shade</v>
      </c>
    </row>
    <row r="25" spans="1:24" x14ac:dyDescent="0.25">
      <c r="A25" t="str">
        <v>Macadamia</v>
      </c>
      <c r="B25" t="str">
        <v>Macadamia integrifolia</v>
      </c>
      <c r="C25" t="str">
        <v>perennial</v>
      </c>
      <c r="D25" t="str">
        <v>tree</v>
      </c>
      <c r="F25" t="str">
        <v>medium, light, organic</v>
      </c>
      <c r="G25">
        <v>2000</v>
      </c>
      <c r="H25">
        <v>18</v>
      </c>
      <c r="I25" t="str">
        <f>IF(ISNUMBER(SEARCH("evergreen",Sheet1!AN26)),
    "evergreen",
    IF(ISNUMBER(SEARCH("deciduous",Sheet1!AN26)),
        "deciduous",
        ""
    )
)</f>
        <v>evergreen</v>
      </c>
      <c r="J25" t="str">
        <v>well (dry spells)</v>
      </c>
      <c r="K25" t="str">
        <v>very bright</v>
      </c>
      <c r="N25" t="str">
        <v>Ginger</v>
      </c>
      <c r="O25" t="str">
        <v>Alpinia galanga</v>
      </c>
      <c r="P25" t="str">
        <v>perennial</v>
      </c>
      <c r="Q25" t="str">
        <v>herb</v>
      </c>
      <c r="R25">
        <v>0</v>
      </c>
      <c r="S25" t="str">
        <v>heavy, medium, light</v>
      </c>
      <c r="T25">
        <v>2750</v>
      </c>
      <c r="U25">
        <v>1.2</v>
      </c>
      <c r="V25" t="str">
        <v/>
      </c>
      <c r="W25" t="str">
        <v>well (dry spells)</v>
      </c>
      <c r="X25" t="str">
        <v>light shade</v>
      </c>
    </row>
    <row r="26" spans="1:24" x14ac:dyDescent="0.25">
      <c r="A26" t="str">
        <v>Coconut</v>
      </c>
      <c r="B26" t="str">
        <v>Cocos nucifera</v>
      </c>
      <c r="C26" t="str">
        <v>perennial</v>
      </c>
      <c r="D26" t="str">
        <v>tree</v>
      </c>
      <c r="F26" t="str">
        <v>medium, light</v>
      </c>
      <c r="G26">
        <v>1800</v>
      </c>
      <c r="H26">
        <v>30</v>
      </c>
      <c r="I26" t="str">
        <f>IF(ISNUMBER(SEARCH("evergreen",Sheet1!AN27)),
    "evergreen",
    IF(ISNUMBER(SEARCH("deciduous",Sheet1!AN27)),
        "deciduous",
        ""
    )
)</f>
        <v>evergreen</v>
      </c>
      <c r="J26" t="str">
        <v>well (dry spells)</v>
      </c>
      <c r="K26" t="str">
        <v>cloudy skies</v>
      </c>
      <c r="N26" t="str">
        <v>Moringa (Horseradish Tree)</v>
      </c>
      <c r="O26" t="str">
        <v>Moringa oleifera</v>
      </c>
      <c r="P26" t="str">
        <v>perennial</v>
      </c>
      <c r="Q26" t="str">
        <v>shrub, tree</v>
      </c>
      <c r="R26">
        <v>0</v>
      </c>
      <c r="S26" t="str">
        <v>medium, light</v>
      </c>
      <c r="T26">
        <v>1450</v>
      </c>
      <c r="U26">
        <v>12</v>
      </c>
      <c r="V26" t="str">
        <v>deciduous</v>
      </c>
      <c r="W26" t="str">
        <v>well (dry spells)</v>
      </c>
      <c r="X26" t="str">
        <v>cloudy skies</v>
      </c>
    </row>
    <row r="27" spans="1:24" x14ac:dyDescent="0.25">
      <c r="A27" t="str">
        <v>Lupin</v>
      </c>
      <c r="B27" t="str">
        <v>Lupinus mutabilis</v>
      </c>
      <c r="C27" t="str">
        <v>annual</v>
      </c>
      <c r="D27" t="str">
        <v>herb</v>
      </c>
      <c r="F27" t="str">
        <v>medium, light</v>
      </c>
      <c r="G27">
        <v>750</v>
      </c>
      <c r="H27">
        <v>1.5</v>
      </c>
      <c r="I27" t="str">
        <f>IF(ISNUMBER(SEARCH("evergreen",Sheet1!AN28)),
    "evergreen",
    IF(ISNUMBER(SEARCH("deciduous",Sheet1!AN28)),
        "deciduous",
        ""
    )
)</f>
        <v/>
      </c>
      <c r="J27" t="str">
        <v>well (dry spells)</v>
      </c>
      <c r="K27" t="str">
        <v>cloudy skies</v>
      </c>
      <c r="N27" t="str">
        <v>Cassava</v>
      </c>
      <c r="O27" t="str">
        <v>Manihot esculenta</v>
      </c>
      <c r="P27" t="str">
        <v>perennial</v>
      </c>
      <c r="Q27" t="str">
        <v>shrub</v>
      </c>
      <c r="R27">
        <v>0</v>
      </c>
      <c r="S27" t="str">
        <v>medium, light</v>
      </c>
      <c r="T27">
        <v>1250</v>
      </c>
      <c r="U27">
        <v>4</v>
      </c>
      <c r="V27" t="str">
        <v/>
      </c>
      <c r="W27" t="str">
        <v>well (dry spells)</v>
      </c>
      <c r="X27" t="str">
        <v>cloudy skies</v>
      </c>
    </row>
    <row r="28" spans="1:24" x14ac:dyDescent="0.25">
      <c r="A28" t="str">
        <v>Sunflower Seed</v>
      </c>
      <c r="B28">
        <v>0</v>
      </c>
      <c r="C28">
        <v>0</v>
      </c>
      <c r="D28">
        <v>0</v>
      </c>
      <c r="F28">
        <v>0</v>
      </c>
      <c r="G28">
        <v>0</v>
      </c>
      <c r="H28">
        <v>3.5</v>
      </c>
      <c r="I28" t="str">
        <f>IF(ISNUMBER(SEARCH("evergreen",Sheet1!AN29)),
    "evergreen",
    IF(ISNUMBER(SEARCH("deciduous",Sheet1!AN29)),
        "deciduous",
        ""
    )
)</f>
        <v/>
      </c>
      <c r="J28">
        <v>0</v>
      </c>
      <c r="K28">
        <v>0</v>
      </c>
      <c r="N28" t="str">
        <v>Artichoke (Jerusalem)</v>
      </c>
      <c r="O28" t="str">
        <v>Helianthus tuberosus</v>
      </c>
      <c r="P28" t="str">
        <v>perennial</v>
      </c>
      <c r="Q28" t="str">
        <v>herb</v>
      </c>
      <c r="R28">
        <v>0</v>
      </c>
      <c r="S28" t="str">
        <v>medium, organic</v>
      </c>
      <c r="T28">
        <v>1100</v>
      </c>
      <c r="U28">
        <v>3.5</v>
      </c>
      <c r="V28" t="str">
        <v/>
      </c>
      <c r="W28" t="str">
        <v>well (dry spells)</v>
      </c>
      <c r="X28" t="str">
        <v>cloudy skies</v>
      </c>
    </row>
    <row r="29" spans="1:24" x14ac:dyDescent="0.25">
      <c r="A29" t="str">
        <v>Oats (Rolled)</v>
      </c>
      <c r="B29" t="str">
        <v>Avena sativa</v>
      </c>
      <c r="C29" t="str">
        <v>annual</v>
      </c>
      <c r="D29" t="str">
        <v>grass</v>
      </c>
      <c r="F29" t="str">
        <v>heavy, medium, light</v>
      </c>
      <c r="G29">
        <v>800</v>
      </c>
      <c r="H29">
        <v>1.5</v>
      </c>
      <c r="I29" t="str">
        <f>IF(ISNUMBER(SEARCH("evergreen",Sheet1!AN30)),
    "evergreen",
    IF(ISNUMBER(SEARCH("deciduous",Sheet1!AN30)),
        "deciduous",
        ""
    )
)</f>
        <v/>
      </c>
      <c r="J29" t="str">
        <v>well (dry spells)</v>
      </c>
      <c r="K29" t="str">
        <v>cloudy skies</v>
      </c>
      <c r="N29" t="str">
        <v>Sugar Apple</v>
      </c>
      <c r="O29" t="str">
        <v>Annona squamosa</v>
      </c>
      <c r="P29" t="str">
        <v>perennial</v>
      </c>
      <c r="Q29" t="str">
        <v>shrub, tree</v>
      </c>
      <c r="R29">
        <v>0</v>
      </c>
      <c r="S29" t="str">
        <v>medium, light</v>
      </c>
      <c r="T29">
        <v>1000</v>
      </c>
      <c r="U29">
        <v>8</v>
      </c>
      <c r="V29" t="str">
        <v>evergreen</v>
      </c>
      <c r="W29" t="str">
        <v>well (dry spells)</v>
      </c>
      <c r="X29" t="str">
        <v>cloudy skies</v>
      </c>
    </row>
    <row r="30" spans="1:24" x14ac:dyDescent="0.25">
      <c r="A30" t="str">
        <v>Rye (Grain)</v>
      </c>
      <c r="B30" t="str">
        <v>Secale cereale</v>
      </c>
      <c r="C30" t="str">
        <v>annual</v>
      </c>
      <c r="D30" t="str">
        <v>grass</v>
      </c>
      <c r="F30" t="str">
        <v>heavy, medium, light</v>
      </c>
      <c r="G30">
        <v>800</v>
      </c>
      <c r="H30">
        <v>2</v>
      </c>
      <c r="I30" t="str">
        <f>IF(ISNUMBER(SEARCH("evergreen",Sheet1!AN31)),
    "evergreen",
    IF(ISNUMBER(SEARCH("deciduous",Sheet1!AN31)),
        "deciduous",
        ""
    )
)</f>
        <v/>
      </c>
      <c r="J30" t="str">
        <v>well (dry spells)</v>
      </c>
      <c r="K30" t="str">
        <v>cloudy skies</v>
      </c>
      <c r="N30" t="str">
        <v>Guava</v>
      </c>
      <c r="O30" t="str">
        <v>Psidium guajava</v>
      </c>
      <c r="P30" t="str">
        <v>perennial</v>
      </c>
      <c r="Q30" t="str">
        <v>shrub, tree</v>
      </c>
      <c r="R30">
        <v>0</v>
      </c>
      <c r="S30" t="str">
        <v>medium, organic</v>
      </c>
      <c r="T30">
        <v>2000</v>
      </c>
      <c r="U30">
        <v>10</v>
      </c>
      <c r="V30" t="str">
        <v>evergreen</v>
      </c>
      <c r="W30" t="str">
        <v>well (dry spells)</v>
      </c>
      <c r="X30" t="str">
        <v>cloudy skies</v>
      </c>
    </row>
    <row r="31" spans="1:24" x14ac:dyDescent="0.25">
      <c r="A31" t="str">
        <v>Quinoa</v>
      </c>
      <c r="B31" t="str">
        <v>Chenopodium quinoa</v>
      </c>
      <c r="C31" t="str">
        <v>annual</v>
      </c>
      <c r="D31" t="str">
        <v>herb</v>
      </c>
      <c r="F31" t="str">
        <v>heavy, medium, light</v>
      </c>
      <c r="G31">
        <v>750</v>
      </c>
      <c r="H31">
        <v>2.5</v>
      </c>
      <c r="I31" t="str">
        <f>IF(ISNUMBER(SEARCH("evergreen",Sheet1!AN32)),
    "evergreen",
    IF(ISNUMBER(SEARCH("deciduous",Sheet1!AN32)),
        "deciduous",
        ""
    )
)</f>
        <v/>
      </c>
      <c r="J31" t="str">
        <v>well (dry spells)</v>
      </c>
      <c r="K31" t="str">
        <v>cloudy skies</v>
      </c>
      <c r="N31" t="str">
        <v>Breadfruit</v>
      </c>
      <c r="O31" t="str">
        <v>Artocarpus altilis</v>
      </c>
      <c r="P31" t="str">
        <v>perennial</v>
      </c>
      <c r="Q31" t="str">
        <v>tree</v>
      </c>
      <c r="R31">
        <v>0</v>
      </c>
      <c r="S31" t="str">
        <v>heavy, medium, light, organic</v>
      </c>
      <c r="T31">
        <v>2250</v>
      </c>
      <c r="U31">
        <v>26</v>
      </c>
      <c r="V31" t="str">
        <v>evergreen</v>
      </c>
      <c r="W31" t="str">
        <v>well (dry spells)</v>
      </c>
      <c r="X31" t="str">
        <v>light shade</v>
      </c>
    </row>
    <row r="32" spans="1:24" x14ac:dyDescent="0.25">
      <c r="A32" t="str">
        <v>Pistachio</v>
      </c>
      <c r="B32" t="str">
        <v>Pistacia vera</v>
      </c>
      <c r="C32" t="str">
        <v>perennial</v>
      </c>
      <c r="D32" t="str">
        <v>tree</v>
      </c>
      <c r="F32" t="str">
        <v>medium, light</v>
      </c>
      <c r="G32">
        <v>550</v>
      </c>
      <c r="H32">
        <v>10</v>
      </c>
      <c r="I32" t="str">
        <f>IF(ISNUMBER(SEARCH("evergreen",Sheet1!AN33)),
    "evergreen",
    IF(ISNUMBER(SEARCH("deciduous",Sheet1!AN33)),
        "deciduous",
        ""
    )
)</f>
        <v>deciduous</v>
      </c>
      <c r="J32" t="str">
        <v>well (dry spells)</v>
      </c>
      <c r="K32" t="str">
        <v>very bright</v>
      </c>
      <c r="N32" t="str">
        <v>Loquat</v>
      </c>
      <c r="O32" t="str">
        <v>Eriobotrya japonica</v>
      </c>
      <c r="P32" t="str">
        <v>perennial</v>
      </c>
      <c r="Q32" t="str">
        <v>shrub, tree</v>
      </c>
      <c r="R32">
        <v>0</v>
      </c>
      <c r="S32" t="str">
        <v>medium, light</v>
      </c>
      <c r="T32">
        <v>1100</v>
      </c>
      <c r="U32">
        <v>10</v>
      </c>
      <c r="V32" t="str">
        <v/>
      </c>
      <c r="W32" t="str">
        <v>well (dry spells)</v>
      </c>
      <c r="X32" t="str">
        <v>cloudy skies</v>
      </c>
    </row>
    <row r="33" spans="1:24" x14ac:dyDescent="0.25">
      <c r="A33" t="str">
        <v>Teff</v>
      </c>
      <c r="B33" t="str">
        <v>Eragrostis tef</v>
      </c>
      <c r="C33" t="str">
        <v>annual</v>
      </c>
      <c r="D33" t="str">
        <v>grass</v>
      </c>
      <c r="F33" t="str">
        <v>medium, light</v>
      </c>
      <c r="G33">
        <v>900</v>
      </c>
      <c r="H33">
        <v>1.2</v>
      </c>
      <c r="I33" t="str">
        <f>IF(ISNUMBER(SEARCH("evergreen",Sheet1!AN34)),
    "evergreen",
    IF(ISNUMBER(SEARCH("deciduous",Sheet1!AN34)),
        "deciduous",
        ""
    )
)</f>
        <v/>
      </c>
      <c r="J33" t="str">
        <v>well (dry spells)</v>
      </c>
      <c r="K33" t="str">
        <v>clear skies</v>
      </c>
      <c r="N33" t="str">
        <v>Gooseberry</v>
      </c>
      <c r="O33" t="str">
        <v>Ribes uva-crispa</v>
      </c>
      <c r="P33" t="str">
        <v>perennial</v>
      </c>
      <c r="Q33" t="str">
        <v>shrub</v>
      </c>
      <c r="R33">
        <v>0</v>
      </c>
      <c r="S33" t="str">
        <v>heavy</v>
      </c>
      <c r="T33">
        <v>1100</v>
      </c>
      <c r="U33">
        <v>1.5</v>
      </c>
      <c r="V33" t="str">
        <v/>
      </c>
      <c r="W33" t="str">
        <v>well (dry spells)</v>
      </c>
      <c r="X33" t="str">
        <v>cloudy skies</v>
      </c>
    </row>
    <row r="34" spans="1:24" x14ac:dyDescent="0.25">
      <c r="A34" t="str">
        <v>Date Palm</v>
      </c>
      <c r="B34" t="str">
        <v>Phoenix dactylifera</v>
      </c>
      <c r="C34" t="str">
        <v>perennial</v>
      </c>
      <c r="D34" t="str">
        <v>tree</v>
      </c>
      <c r="F34" t="str">
        <v>medium, light</v>
      </c>
      <c r="G34">
        <v>250</v>
      </c>
      <c r="H34">
        <v>25</v>
      </c>
      <c r="I34" t="str">
        <f>IF(ISNUMBER(SEARCH("evergreen",Sheet1!AN35)),
    "evergreen",
    IF(ISNUMBER(SEARCH("deciduous",Sheet1!AN35)),
        "deciduous",
        ""
    )
)</f>
        <v>evergreen</v>
      </c>
      <c r="J34" t="str">
        <v>well (dry spells)</v>
      </c>
      <c r="K34" t="str">
        <v>very bright</v>
      </c>
      <c r="N34" t="str">
        <v>Watercress</v>
      </c>
      <c r="O34" t="str">
        <v>Nasturtium officinale</v>
      </c>
      <c r="P34" t="str">
        <v>perennial</v>
      </c>
      <c r="Q34" t="str">
        <v>herb</v>
      </c>
      <c r="R34">
        <v>0</v>
      </c>
      <c r="S34" t="str">
        <v>medium, light</v>
      </c>
      <c r="T34">
        <v>1650</v>
      </c>
      <c r="U34">
        <v>0.5</v>
      </c>
      <c r="V34" t="str">
        <v/>
      </c>
      <c r="W34" t="str">
        <v>poorly (saturated &gt;50% of year)</v>
      </c>
      <c r="X34" t="str">
        <v>light shade</v>
      </c>
    </row>
    <row r="35" spans="1:24" x14ac:dyDescent="0.25">
      <c r="A35" t="str">
        <v>Rice (Wild)</v>
      </c>
      <c r="B35">
        <v>0</v>
      </c>
      <c r="C35">
        <v>0</v>
      </c>
      <c r="D35">
        <v>0</v>
      </c>
      <c r="F35">
        <v>0</v>
      </c>
      <c r="G35">
        <v>0</v>
      </c>
      <c r="H35">
        <v>2.5</v>
      </c>
      <c r="I35" t="str">
        <f>IF(ISNUMBER(SEARCH("evergreen",Sheet1!AN36)),
    "evergreen",
    IF(ISNUMBER(SEARCH("deciduous",Sheet1!AN36)),
        "deciduous",
        ""
    )
)</f>
        <v/>
      </c>
      <c r="J35">
        <v>0</v>
      </c>
      <c r="K35">
        <v>0</v>
      </c>
      <c r="N35" t="str">
        <v>Prickly Pear</v>
      </c>
      <c r="O35" t="str">
        <v>Opuntia ficus-indica</v>
      </c>
      <c r="P35" t="str">
        <v>perennial</v>
      </c>
      <c r="Q35" t="str">
        <v>shrub</v>
      </c>
      <c r="R35">
        <v>0</v>
      </c>
      <c r="S35" t="str">
        <v>medium, light</v>
      </c>
      <c r="T35">
        <v>1000</v>
      </c>
      <c r="U35">
        <v>5</v>
      </c>
      <c r="V35" t="str">
        <v>evergreen</v>
      </c>
      <c r="W35" t="str">
        <v>well (dry spells), excessive (dry/moderately dry)</v>
      </c>
      <c r="X35" t="str">
        <v>cloudy skies</v>
      </c>
    </row>
    <row r="36" spans="1:24" x14ac:dyDescent="0.25">
      <c r="A36" t="str">
        <v>Walnut</v>
      </c>
      <c r="B36" t="str">
        <v>Juglans regia</v>
      </c>
      <c r="C36" t="str">
        <v>perennial</v>
      </c>
      <c r="D36" t="str">
        <v>tree</v>
      </c>
      <c r="F36" t="str">
        <v>medium</v>
      </c>
      <c r="G36">
        <v>1250</v>
      </c>
      <c r="H36">
        <v>25</v>
      </c>
      <c r="I36" t="str">
        <f>IF(ISNUMBER(SEARCH("evergreen",Sheet1!AN37)),
    "evergreen",
    IF(ISNUMBER(SEARCH("deciduous",Sheet1!AN37)),
        "deciduous",
        ""
    )
)</f>
        <v>deciduous</v>
      </c>
      <c r="J36" t="str">
        <v>well (dry spells)</v>
      </c>
      <c r="K36" t="str">
        <v>cloudy skies</v>
      </c>
      <c r="N36" t="str">
        <v>Soursop</v>
      </c>
      <c r="O36" t="str">
        <v>Annona muricata</v>
      </c>
      <c r="P36" t="str">
        <v>perennial</v>
      </c>
      <c r="Q36" t="str">
        <v>tree</v>
      </c>
      <c r="R36">
        <v>0</v>
      </c>
      <c r="S36" t="str">
        <v>heavy, medium</v>
      </c>
      <c r="T36">
        <v>1700</v>
      </c>
      <c r="U36">
        <v>10</v>
      </c>
      <c r="V36" t="str">
        <v>evergreen</v>
      </c>
      <c r="W36" t="str">
        <v>well (dry spells)</v>
      </c>
      <c r="X36" t="str">
        <v>cloudy skies</v>
      </c>
    </row>
    <row r="37" spans="1:24" x14ac:dyDescent="0.25">
      <c r="A37" t="str">
        <v>Pecan</v>
      </c>
      <c r="B37" t="str">
        <v>Carya illinoensis</v>
      </c>
      <c r="C37" t="str">
        <v>perennial</v>
      </c>
      <c r="D37" t="str">
        <v>tree</v>
      </c>
      <c r="F37" t="str">
        <v>medium, light</v>
      </c>
      <c r="G37">
        <v>900</v>
      </c>
      <c r="H37">
        <v>45</v>
      </c>
      <c r="I37" t="str">
        <f>IF(ISNUMBER(SEARCH("evergreen",Sheet1!AN38)),
    "evergreen",
    IF(ISNUMBER(SEARCH("deciduous",Sheet1!AN38)),
        "deciduous",
        ""
    )
)</f>
        <v>deciduous</v>
      </c>
      <c r="J37" t="str">
        <v>well (dry spells)</v>
      </c>
      <c r="K37" t="str">
        <v>clear skies</v>
      </c>
      <c r="N37" t="str">
        <v>Mulberry</v>
      </c>
      <c r="O37" t="str">
        <v>Morus nigra</v>
      </c>
      <c r="P37" t="str">
        <v>perennial</v>
      </c>
      <c r="Q37" t="str">
        <v>tree</v>
      </c>
      <c r="R37">
        <v>0</v>
      </c>
      <c r="S37" t="str">
        <v>medium</v>
      </c>
      <c r="T37">
        <v>1100</v>
      </c>
      <c r="U37">
        <v>15</v>
      </c>
      <c r="V37" t="str">
        <v>deciduous</v>
      </c>
      <c r="W37" t="str">
        <v>well (dry spells)</v>
      </c>
      <c r="X37" t="str">
        <v>cloudy skies</v>
      </c>
    </row>
    <row r="38" spans="1:24" x14ac:dyDescent="0.25">
      <c r="A38" t="str">
        <v>Broccolini</v>
      </c>
      <c r="B38" t="str">
        <v>Brassica oleracea var. italica</v>
      </c>
      <c r="C38" t="str">
        <v>biennial</v>
      </c>
      <c r="D38" t="str">
        <v>herb</v>
      </c>
      <c r="F38" t="str">
        <v>medium, organic</v>
      </c>
      <c r="G38">
        <v>1200</v>
      </c>
      <c r="H38">
        <v>0.8</v>
      </c>
      <c r="I38" t="str">
        <f>IF(ISNUMBER(SEARCH("evergreen",Sheet1!AN39)),
    "evergreen",
    IF(ISNUMBER(SEARCH("deciduous",Sheet1!AN39)),
        "deciduous",
        ""
    )
)</f>
        <v/>
      </c>
      <c r="J38" t="str">
        <v>well (dry spells)</v>
      </c>
      <c r="K38" t="str">
        <v>light shade</v>
      </c>
      <c r="N38" t="str">
        <v>Quince</v>
      </c>
      <c r="O38" t="str">
        <v>Cydonia oblonga</v>
      </c>
      <c r="P38" t="str">
        <v>perennial</v>
      </c>
      <c r="Q38" t="str">
        <v>shrub, tree</v>
      </c>
      <c r="R38">
        <v>0</v>
      </c>
      <c r="S38" t="str">
        <v>heavy, medium</v>
      </c>
      <c r="T38">
        <v>800</v>
      </c>
      <c r="U38">
        <v>7</v>
      </c>
      <c r="V38" t="str">
        <v>deciduous</v>
      </c>
      <c r="W38" t="str">
        <v>well (dry spells)</v>
      </c>
      <c r="X38" t="str">
        <v>cloudy skies</v>
      </c>
    </row>
    <row r="39" spans="1:24" x14ac:dyDescent="0.25">
      <c r="A39" t="str">
        <v>Winged Bean</v>
      </c>
      <c r="B39" t="str">
        <v>Psophocarpus tetragonolobus</v>
      </c>
      <c r="C39" t="str">
        <v>perennial</v>
      </c>
      <c r="D39" t="str">
        <v>herb, vine</v>
      </c>
      <c r="F39" t="str">
        <v>medium, organic</v>
      </c>
      <c r="G39">
        <v>1750</v>
      </c>
      <c r="H39">
        <v>4</v>
      </c>
      <c r="I39" t="str">
        <f>IF(ISNUMBER(SEARCH("evergreen",Sheet1!AN40)),
    "evergreen",
    IF(ISNUMBER(SEARCH("deciduous",Sheet1!AN40)),
        "deciduous",
        ""
    )
)</f>
        <v/>
      </c>
      <c r="J39" t="str">
        <v>well (dry spells)</v>
      </c>
      <c r="K39" t="str">
        <v>cloudy skies</v>
      </c>
      <c r="N39" t="str">
        <v>Sapodilla</v>
      </c>
      <c r="O39" t="str">
        <v>Manilkara achras</v>
      </c>
      <c r="P39" t="str">
        <v>perennial</v>
      </c>
      <c r="Q39" t="str">
        <v>tree</v>
      </c>
      <c r="R39">
        <v>0</v>
      </c>
      <c r="S39" t="str">
        <v>medium</v>
      </c>
      <c r="T39">
        <v>1250</v>
      </c>
      <c r="U39">
        <v>25</v>
      </c>
      <c r="V39" t="str">
        <v>evergreen</v>
      </c>
      <c r="W39" t="str">
        <v>well (dry spells)</v>
      </c>
      <c r="X39" t="str">
        <v>light shade</v>
      </c>
    </row>
    <row r="40" spans="1:24" x14ac:dyDescent="0.25">
      <c r="A40" t="str">
        <v>Almond</v>
      </c>
      <c r="B40" t="str">
        <v>Prunus amygdalus</v>
      </c>
      <c r="C40" t="str">
        <v>perennial</v>
      </c>
      <c r="D40" t="str">
        <v>tree</v>
      </c>
      <c r="F40" t="str">
        <v>medium</v>
      </c>
      <c r="G40">
        <v>750</v>
      </c>
      <c r="H40">
        <v>10</v>
      </c>
      <c r="I40" t="str">
        <f>IF(ISNUMBER(SEARCH("evergreen",Sheet1!AN41)),
    "evergreen",
    IF(ISNUMBER(SEARCH("deciduous",Sheet1!AN41)),
        "deciduous",
        ""
    )
)</f>
        <v>deciduous</v>
      </c>
      <c r="J40" t="str">
        <v>well (dry spells)</v>
      </c>
      <c r="K40" t="str">
        <v>very bright</v>
      </c>
      <c r="N40" t="str">
        <v>Chilli (Green)</v>
      </c>
      <c r="O40" t="str">
        <v>Capsicum frutescens</v>
      </c>
      <c r="P40" t="str">
        <v>perennial</v>
      </c>
      <c r="Q40" t="str">
        <v>sub-shrub</v>
      </c>
      <c r="R40">
        <v>0</v>
      </c>
      <c r="S40" t="str">
        <v>medium, organic</v>
      </c>
      <c r="T40">
        <v>1050</v>
      </c>
      <c r="U40">
        <v>1.5</v>
      </c>
      <c r="V40" t="str">
        <v/>
      </c>
      <c r="W40" t="str">
        <v>well (dry spells)</v>
      </c>
      <c r="X40" t="str">
        <v>cloudy skies</v>
      </c>
    </row>
    <row r="41" spans="1:24" x14ac:dyDescent="0.25">
      <c r="A41" t="str">
        <v>Pigeon Pea</v>
      </c>
      <c r="B41" t="str">
        <v>Cajanus cajan</v>
      </c>
      <c r="C41" t="str">
        <v>perennial</v>
      </c>
      <c r="D41" t="str">
        <v>shrub</v>
      </c>
      <c r="F41" t="str">
        <v>medium, light</v>
      </c>
      <c r="G41">
        <v>1050</v>
      </c>
      <c r="H41">
        <v>4</v>
      </c>
      <c r="I41" t="str">
        <f>IF(ISNUMBER(SEARCH("evergreen",Sheet1!AN42)),
    "evergreen",
    IF(ISNUMBER(SEARCH("deciduous",Sheet1!AN42)),
        "deciduous",
        ""
    )
)</f>
        <v/>
      </c>
      <c r="J41" t="str">
        <v>well (dry spells)</v>
      </c>
      <c r="K41" t="str">
        <v>clear skies</v>
      </c>
      <c r="N41" t="str">
        <v>Pomegranate</v>
      </c>
      <c r="O41" t="str">
        <v>Punica granatum</v>
      </c>
      <c r="P41" t="str">
        <v>perennial</v>
      </c>
      <c r="Q41" t="str">
        <v>shrub, tree</v>
      </c>
      <c r="R41">
        <v>0</v>
      </c>
      <c r="S41" t="str">
        <v>heavy, medium</v>
      </c>
      <c r="T41">
        <v>1050</v>
      </c>
      <c r="U41">
        <v>7</v>
      </c>
      <c r="V41" t="str">
        <v>evergreen</v>
      </c>
      <c r="W41" t="str">
        <v>well (dry spells)</v>
      </c>
      <c r="X41" t="str">
        <v>clear skies</v>
      </c>
    </row>
    <row r="42" spans="1:24" x14ac:dyDescent="0.25">
      <c r="A42" t="str">
        <v>Celery</v>
      </c>
      <c r="B42" t="str">
        <v>Apium graveolens var. dulce</v>
      </c>
      <c r="C42" t="str">
        <v>annual, biennial</v>
      </c>
      <c r="D42" t="str">
        <v>herb</v>
      </c>
      <c r="F42" t="str">
        <v>medium, organic</v>
      </c>
      <c r="G42">
        <v>1150</v>
      </c>
      <c r="H42">
        <v>1</v>
      </c>
      <c r="I42" t="str">
        <f>IF(ISNUMBER(SEARCH("evergreen",Sheet1!AN43)),
    "evergreen",
    IF(ISNUMBER(SEARCH("deciduous",Sheet1!AN43)),
        "deciduous",
        ""
    )
)</f>
        <v/>
      </c>
      <c r="J42" t="str">
        <v>well (dry spells)</v>
      </c>
      <c r="K42" t="str">
        <v>cloudy skies</v>
      </c>
      <c r="N42" t="str">
        <v>Pear (Nashi)</v>
      </c>
      <c r="O42" t="str">
        <v>Pyrus communis</v>
      </c>
      <c r="P42" t="str">
        <v>perennial</v>
      </c>
      <c r="Q42" t="str">
        <v>tree</v>
      </c>
      <c r="R42">
        <v>0</v>
      </c>
      <c r="S42" t="str">
        <v>heavy, medium</v>
      </c>
      <c r="T42">
        <v>750</v>
      </c>
      <c r="U42">
        <v>8</v>
      </c>
      <c r="V42" t="str">
        <v>deciduous</v>
      </c>
      <c r="W42" t="str">
        <v>well (dry spells)</v>
      </c>
      <c r="X42" t="str">
        <v>clear skies</v>
      </c>
    </row>
    <row r="43" spans="1:24" x14ac:dyDescent="0.25">
      <c r="A43" t="str">
        <v>Hyacinth Bean</v>
      </c>
      <c r="B43">
        <v>0</v>
      </c>
      <c r="C43">
        <v>0</v>
      </c>
      <c r="D43">
        <v>0</v>
      </c>
      <c r="F43">
        <v>0</v>
      </c>
      <c r="G43">
        <v>0</v>
      </c>
      <c r="H43">
        <v>6</v>
      </c>
      <c r="I43" t="str">
        <f>IF(ISNUMBER(SEARCH("evergreen",Sheet1!AN44)),
    "evergreen",
    IF(ISNUMBER(SEARCH("deciduous",Sheet1!AN44)),
        "deciduous",
        ""
    )
)</f>
        <v/>
      </c>
      <c r="J43">
        <v>0</v>
      </c>
      <c r="K43">
        <v>0</v>
      </c>
      <c r="N43" t="str">
        <v>Naranjilla</v>
      </c>
      <c r="O43" t="str">
        <v>Solanum quitoense</v>
      </c>
      <c r="P43" t="str">
        <v>perennial</v>
      </c>
      <c r="Q43" t="str">
        <v>sub-shrub</v>
      </c>
      <c r="R43">
        <v>0</v>
      </c>
      <c r="S43" t="str">
        <v>heavy, medium, light, organic</v>
      </c>
      <c r="T43">
        <v>2250</v>
      </c>
      <c r="U43">
        <v>3</v>
      </c>
      <c r="V43" t="str">
        <v/>
      </c>
      <c r="W43" t="str">
        <v>well (dry spells)</v>
      </c>
      <c r="X43" t="str">
        <v>light shade</v>
      </c>
    </row>
    <row r="44" spans="1:24" x14ac:dyDescent="0.25">
      <c r="A44" t="str">
        <v>Soybean</v>
      </c>
      <c r="B44" t="str">
        <v>Glycine max</v>
      </c>
      <c r="C44" t="str">
        <v>annual</v>
      </c>
      <c r="D44" t="str">
        <v>herb</v>
      </c>
      <c r="F44" t="str">
        <v>medium, organic</v>
      </c>
      <c r="G44">
        <v>1050</v>
      </c>
      <c r="H44">
        <v>1.5</v>
      </c>
      <c r="I44" t="str">
        <f>IF(ISNUMBER(SEARCH("evergreen",Sheet1!AN45)),
    "evergreen",
    IF(ISNUMBER(SEARCH("deciduous",Sheet1!AN45)),
        "deciduous",
        ""
    )
)</f>
        <v/>
      </c>
      <c r="J44" t="str">
        <v>well (dry spells)</v>
      </c>
      <c r="K44" t="str">
        <v>clear skies</v>
      </c>
      <c r="N44" t="str">
        <v>Lychee</v>
      </c>
      <c r="O44" t="str">
        <v>Litchi chinensis</v>
      </c>
      <c r="P44" t="str">
        <v>perennial</v>
      </c>
      <c r="Q44" t="str">
        <v>tree</v>
      </c>
      <c r="R44">
        <v>0</v>
      </c>
      <c r="S44" t="str">
        <v>medium, organic</v>
      </c>
      <c r="T44">
        <v>1350</v>
      </c>
      <c r="U44">
        <v>20</v>
      </c>
      <c r="V44" t="str">
        <v>evergreen</v>
      </c>
      <c r="W44" t="str">
        <v>well (dry spells)</v>
      </c>
      <c r="X44" t="str">
        <v>cloudy skies</v>
      </c>
    </row>
    <row r="45" spans="1:24" x14ac:dyDescent="0.25">
      <c r="A45" t="str">
        <v>Tamarind</v>
      </c>
      <c r="B45" t="str">
        <v>Tamarindus indica</v>
      </c>
      <c r="C45" t="str">
        <v>perennial</v>
      </c>
      <c r="D45" t="str">
        <v>tree</v>
      </c>
      <c r="F45" t="str">
        <v>medium, light</v>
      </c>
      <c r="G45">
        <v>1900</v>
      </c>
      <c r="H45">
        <v>25</v>
      </c>
      <c r="I45" t="str">
        <f>IF(ISNUMBER(SEARCH("evergreen",Sheet1!AN46)),
    "evergreen",
    IF(ISNUMBER(SEARCH("deciduous",Sheet1!AN46)),
        "deciduous",
        ""
    )
)</f>
        <v/>
      </c>
      <c r="J45" t="str">
        <v>well (dry spells)</v>
      </c>
      <c r="K45" t="str">
        <v>light shade</v>
      </c>
      <c r="N45" t="str">
        <v>Banana</v>
      </c>
      <c r="O45" t="str">
        <v>Musa sapientum</v>
      </c>
      <c r="P45" t="str">
        <v>perennial</v>
      </c>
      <c r="Q45" t="str">
        <v>herb</v>
      </c>
      <c r="R45">
        <v>0</v>
      </c>
      <c r="S45">
        <v>0</v>
      </c>
      <c r="T45">
        <v>0</v>
      </c>
      <c r="U45">
        <v>9</v>
      </c>
      <c r="V45" t="str">
        <v/>
      </c>
      <c r="W45">
        <v>0</v>
      </c>
      <c r="X45">
        <v>0</v>
      </c>
    </row>
    <row r="46" spans="1:24" x14ac:dyDescent="0.25">
      <c r="A46" t="str">
        <v>Turnip</v>
      </c>
      <c r="B46">
        <v>0</v>
      </c>
      <c r="C46">
        <v>0</v>
      </c>
      <c r="D46">
        <v>0</v>
      </c>
      <c r="F46">
        <v>0</v>
      </c>
      <c r="G46">
        <v>0</v>
      </c>
      <c r="H46">
        <v>0.6</v>
      </c>
      <c r="I46" t="str">
        <f>IF(ISNUMBER(SEARCH("evergreen",Sheet1!AN47)),
    "evergreen",
    IF(ISNUMBER(SEARCH("deciduous",Sheet1!AN47)),
        "deciduous",
        ""
    )
)</f>
        <v/>
      </c>
      <c r="J46">
        <v>0</v>
      </c>
      <c r="K46">
        <v>0</v>
      </c>
      <c r="N46" t="str">
        <v>Artichoke (Globe)</v>
      </c>
      <c r="O46" t="str">
        <v>Cynara scolymus</v>
      </c>
      <c r="P46" t="str">
        <v>perennial</v>
      </c>
      <c r="Q46" t="str">
        <v>herb</v>
      </c>
      <c r="R46">
        <v>0</v>
      </c>
      <c r="S46" t="str">
        <v>medium, light</v>
      </c>
      <c r="T46">
        <v>1050</v>
      </c>
      <c r="U46">
        <v>2</v>
      </c>
      <c r="V46" t="str">
        <v/>
      </c>
      <c r="W46" t="str">
        <v>well (dry spells)</v>
      </c>
      <c r="X46" t="str">
        <v>cloudy skies</v>
      </c>
    </row>
    <row r="47" spans="1:24" x14ac:dyDescent="0.25">
      <c r="A47" t="str">
        <v>Bean (Broad/Fava)</v>
      </c>
      <c r="B47" t="str">
        <v>Phaseolus lunatus</v>
      </c>
      <c r="C47" t="str">
        <v>annual, perennial</v>
      </c>
      <c r="D47" t="str">
        <v>herb</v>
      </c>
      <c r="F47" t="str">
        <v>medium</v>
      </c>
      <c r="G47">
        <v>1200</v>
      </c>
      <c r="H47">
        <v>1.8</v>
      </c>
      <c r="I47" t="str">
        <f>IF(ISNUMBER(SEARCH("evergreen",Sheet1!AN48)),
    "evergreen",
    IF(ISNUMBER(SEARCH("deciduous",Sheet1!AN48)),
        "deciduous",
        ""
    )
)</f>
        <v/>
      </c>
      <c r="J47" t="str">
        <v>well (dry spells)</v>
      </c>
      <c r="K47" t="str">
        <v>cloudy skies</v>
      </c>
      <c r="N47" t="str">
        <v>Fig</v>
      </c>
      <c r="O47" t="str">
        <v>Ficus carica</v>
      </c>
      <c r="P47" t="str">
        <v>perennial</v>
      </c>
      <c r="Q47" t="str">
        <v>shrub, tree</v>
      </c>
      <c r="R47">
        <v>0</v>
      </c>
      <c r="S47" t="str">
        <v>medium</v>
      </c>
      <c r="T47">
        <v>1100</v>
      </c>
      <c r="U47">
        <v>10</v>
      </c>
      <c r="V47" t="str">
        <v>deciduous</v>
      </c>
      <c r="W47" t="str">
        <v>well (dry spells)</v>
      </c>
      <c r="X47" t="str">
        <v>light shade</v>
      </c>
    </row>
    <row r="48" spans="1:24" x14ac:dyDescent="0.25">
      <c r="A48" t="str">
        <v>Kiwifruit (Green)</v>
      </c>
      <c r="B48" t="str">
        <v>Actinidia chinensis</v>
      </c>
      <c r="C48" t="str">
        <v>perennial</v>
      </c>
      <c r="D48" t="str">
        <v>vine, shrub</v>
      </c>
      <c r="F48" t="str">
        <v>light, organic</v>
      </c>
      <c r="G48">
        <v>1100</v>
      </c>
      <c r="H48">
        <v>0.5</v>
      </c>
      <c r="I48" t="str">
        <f>IF(ISNUMBER(SEARCH("evergreen",Sheet1!AN49)),
    "evergreen",
    IF(ISNUMBER(SEARCH("deciduous",Sheet1!AN49)),
        "deciduous",
        ""
    )
)</f>
        <v>deciduous</v>
      </c>
      <c r="J48" t="str">
        <v>well (dry spells)</v>
      </c>
      <c r="K48" t="str">
        <v>clear skies</v>
      </c>
      <c r="N48" t="str">
        <v>Kiwifruit (Gold)</v>
      </c>
      <c r="O48" t="str">
        <v>Actinidia chinensis</v>
      </c>
      <c r="P48" t="str">
        <v>perennial</v>
      </c>
      <c r="Q48" t="str">
        <v>vine, shrub</v>
      </c>
      <c r="R48">
        <v>0</v>
      </c>
      <c r="S48" t="str">
        <v>light, organic</v>
      </c>
      <c r="T48">
        <v>1100</v>
      </c>
      <c r="U48">
        <v>0.5</v>
      </c>
      <c r="V48" t="str">
        <v>deciduous</v>
      </c>
      <c r="W48" t="str">
        <v>well (dry spells)</v>
      </c>
      <c r="X48" t="str">
        <v>clear skies</v>
      </c>
    </row>
    <row r="49" spans="1:24" x14ac:dyDescent="0.25">
      <c r="A49" t="str">
        <v>Rhubarb</v>
      </c>
      <c r="B49" t="str">
        <v>Rheum rhaponticum</v>
      </c>
      <c r="C49" t="str">
        <v>perennial</v>
      </c>
      <c r="D49" t="str">
        <v>herb</v>
      </c>
      <c r="F49" t="str">
        <v>medium, organic</v>
      </c>
      <c r="G49">
        <v>1050</v>
      </c>
      <c r="H49">
        <v>1.8</v>
      </c>
      <c r="I49" t="str">
        <f>IF(ISNUMBER(SEARCH("evergreen",Sheet1!AN50)),
    "evergreen",
    IF(ISNUMBER(SEARCH("deciduous",Sheet1!AN50)),
        "deciduous",
        ""
    )
)</f>
        <v/>
      </c>
      <c r="J49" t="str">
        <v>well (dry spells)</v>
      </c>
      <c r="K49" t="str">
        <v>cloudy skies</v>
      </c>
      <c r="N49" t="str">
        <v>Feijoa</v>
      </c>
      <c r="O49" t="str">
        <v>Feijoa sellowiana</v>
      </c>
      <c r="P49" t="str">
        <v>perennial</v>
      </c>
      <c r="Q49" t="str">
        <v>shrub, tree</v>
      </c>
      <c r="R49">
        <v>0</v>
      </c>
      <c r="S49" t="str">
        <v>medium, light</v>
      </c>
      <c r="T49">
        <v>1050</v>
      </c>
      <c r="U49">
        <v>5</v>
      </c>
      <c r="V49" t="str">
        <v>evergreen</v>
      </c>
      <c r="W49" t="str">
        <v>well (dry spells)</v>
      </c>
      <c r="X49" t="str">
        <v>light shade</v>
      </c>
    </row>
    <row r="50" spans="1:24" x14ac:dyDescent="0.25">
      <c r="A50" t="str">
        <v>Hazelnut</v>
      </c>
      <c r="B50" t="str">
        <v>Corylus avellana</v>
      </c>
      <c r="C50" t="str">
        <v>perennial</v>
      </c>
      <c r="D50" t="str">
        <v>shrub, tree</v>
      </c>
      <c r="F50" t="str">
        <v>medium</v>
      </c>
      <c r="G50">
        <v>1000</v>
      </c>
      <c r="H50">
        <v>8</v>
      </c>
      <c r="I50" t="str">
        <f>IF(ISNUMBER(SEARCH("evergreen",Sheet1!AN51)),
    "evergreen",
    IF(ISNUMBER(SEARCH("deciduous",Sheet1!AN51)),
        "deciduous",
        ""
    )
)</f>
        <v>deciduous</v>
      </c>
      <c r="J50" t="str">
        <v>well (dry spells)</v>
      </c>
      <c r="K50" t="str">
        <v>clear skies</v>
      </c>
      <c r="N50" t="str">
        <v>Tamarillo</v>
      </c>
      <c r="O50" t="str">
        <v>Cyphomandra betacea</v>
      </c>
      <c r="P50" t="str">
        <v>perennial</v>
      </c>
      <c r="Q50" t="str">
        <v>herb, shrub, tree</v>
      </c>
      <c r="R50">
        <v>0</v>
      </c>
      <c r="S50" t="str">
        <v>medium, light</v>
      </c>
      <c r="T50">
        <v>2300</v>
      </c>
      <c r="U50">
        <v>4</v>
      </c>
      <c r="V50" t="str">
        <v/>
      </c>
      <c r="W50" t="str">
        <v>well (dry spells)</v>
      </c>
      <c r="X50" t="str">
        <v>cloudy skies</v>
      </c>
    </row>
    <row r="51" spans="1:24" x14ac:dyDescent="0.25">
      <c r="A51" t="str">
        <v>Pea (Green)</v>
      </c>
      <c r="B51" t="str">
        <v>Pisum sativum</v>
      </c>
      <c r="C51" t="str">
        <v>annual</v>
      </c>
      <c r="D51" t="str">
        <v>herb</v>
      </c>
      <c r="F51" t="str">
        <v>heavy, medium, light</v>
      </c>
      <c r="G51">
        <v>1000</v>
      </c>
      <c r="H51">
        <v>2</v>
      </c>
      <c r="I51" t="str">
        <f>IF(ISNUMBER(SEARCH("evergreen",Sheet1!AN52)),
    "evergreen",
    IF(ISNUMBER(SEARCH("deciduous",Sheet1!AN52)),
        "deciduous",
        ""
    )
)</f>
        <v/>
      </c>
      <c r="J51" t="str">
        <v>well (dry spells)</v>
      </c>
      <c r="K51" t="str">
        <v>cloudy skies</v>
      </c>
      <c r="N51" t="str">
        <v>Parsley</v>
      </c>
      <c r="O51" t="str">
        <v>Petroselinum crispum</v>
      </c>
      <c r="P51" t="str">
        <v>perennial</v>
      </c>
      <c r="Q51" t="str">
        <v>herb</v>
      </c>
      <c r="R51">
        <v>0</v>
      </c>
      <c r="S51" t="str">
        <v>medium, organic</v>
      </c>
      <c r="T51">
        <v>1200</v>
      </c>
      <c r="U51">
        <v>0.8</v>
      </c>
      <c r="V51" t="str">
        <v/>
      </c>
      <c r="W51" t="str">
        <v>well (dry spells)</v>
      </c>
      <c r="X51" t="str">
        <v>light shade</v>
      </c>
    </row>
    <row r="52" spans="1:24" x14ac:dyDescent="0.25">
      <c r="A52" t="str">
        <v>Blackberry</v>
      </c>
      <c r="B52" t="str">
        <v>Rubus sp.</v>
      </c>
      <c r="C52" t="str">
        <v>perennial</v>
      </c>
      <c r="D52" t="str">
        <v>shrub</v>
      </c>
      <c r="F52" t="str">
        <v>heavy, medium, light</v>
      </c>
      <c r="G52">
        <v>1600</v>
      </c>
      <c r="H52">
        <v>3</v>
      </c>
      <c r="I52" t="str">
        <f>IF(ISNUMBER(SEARCH("evergreen",Sheet1!AN53)),
    "evergreen",
    IF(ISNUMBER(SEARCH("deciduous",Sheet1!AN53)),
        "deciduous",
        ""
    )
)</f>
        <v>deciduous</v>
      </c>
      <c r="J52" t="str">
        <v>well (dry spells)</v>
      </c>
      <c r="K52" t="str">
        <v>cloudy skies</v>
      </c>
      <c r="N52" t="str">
        <v>Parsley (Curly)</v>
      </c>
      <c r="O52" t="str">
        <v>Petroselinum crispum</v>
      </c>
      <c r="P52" t="str">
        <v>perennial</v>
      </c>
      <c r="Q52" t="str">
        <v>herb</v>
      </c>
      <c r="R52">
        <v>0</v>
      </c>
      <c r="S52" t="str">
        <v>medium, organic</v>
      </c>
      <c r="T52">
        <v>1200</v>
      </c>
      <c r="U52">
        <v>0.8</v>
      </c>
      <c r="V52" t="str">
        <v/>
      </c>
      <c r="W52" t="str">
        <v>well (dry spells)</v>
      </c>
      <c r="X52" t="str">
        <v>light shade</v>
      </c>
    </row>
    <row r="53" spans="1:24" x14ac:dyDescent="0.25">
      <c r="A53" t="str">
        <v>Pine Nut</v>
      </c>
      <c r="B53" t="str">
        <v>Pinus pinea</v>
      </c>
      <c r="C53" t="str">
        <v>perennial</v>
      </c>
      <c r="D53" t="str">
        <v>tree</v>
      </c>
      <c r="F53" t="str">
        <v>medium, light</v>
      </c>
      <c r="G53">
        <v>600</v>
      </c>
      <c r="H53">
        <v>25</v>
      </c>
      <c r="I53" t="str">
        <f>IF(ISNUMBER(SEARCH("evergreen",Sheet1!AN54)),
    "evergreen",
    IF(ISNUMBER(SEARCH("deciduous",Sheet1!AN54)),
        "deciduous",
        ""
    )
)</f>
        <v>evergreen</v>
      </c>
      <c r="J53" t="str">
        <v>well (dry spells)</v>
      </c>
      <c r="K53" t="str">
        <v>clear skies</v>
      </c>
      <c r="N53" t="str">
        <v>Cranberry</v>
      </c>
      <c r="O53" t="str">
        <v>Vaccinium macrocarpon</v>
      </c>
      <c r="P53" t="str">
        <v>perennial</v>
      </c>
      <c r="Q53" t="str">
        <v>vine, sub-shrub</v>
      </c>
      <c r="R53">
        <v>0</v>
      </c>
      <c r="S53" t="str">
        <v>medium, light</v>
      </c>
      <c r="T53">
        <v>800</v>
      </c>
      <c r="U53">
        <v>0.3</v>
      </c>
      <c r="V53" t="str">
        <v/>
      </c>
      <c r="W53" t="str">
        <v>well (dry spells)</v>
      </c>
      <c r="X53" t="str">
        <v>cloudy skies</v>
      </c>
    </row>
    <row r="54" spans="1:24" x14ac:dyDescent="0.25">
      <c r="A54" t="str">
        <v>Strawberry</v>
      </c>
      <c r="B54" t="str">
        <v>Fragaria x ananassa</v>
      </c>
      <c r="C54" t="str">
        <v>perennial</v>
      </c>
      <c r="D54" t="str">
        <v>herb</v>
      </c>
      <c r="F54" t="str">
        <v>medium, organic</v>
      </c>
      <c r="G54">
        <v>750</v>
      </c>
      <c r="H54">
        <v>0.3</v>
      </c>
      <c r="I54" t="str">
        <f>IF(ISNUMBER(SEARCH("evergreen",Sheet1!AN55)),
    "evergreen",
    IF(ISNUMBER(SEARCH("deciduous",Sheet1!AN55)),
        "deciduous",
        ""
    )
)</f>
        <v/>
      </c>
      <c r="J54" t="str">
        <v>well (dry spells)</v>
      </c>
      <c r="K54" t="str">
        <v>clear skies</v>
      </c>
      <c r="N54" t="str">
        <v>Bilberry</v>
      </c>
      <c r="O54" t="str">
        <v>Vaccinium myrtillus</v>
      </c>
      <c r="P54" t="str">
        <v>perennial</v>
      </c>
      <c r="Q54" t="str">
        <v>sub-shrub</v>
      </c>
      <c r="R54">
        <v>0</v>
      </c>
      <c r="S54" t="str">
        <v>light, organic</v>
      </c>
      <c r="T54">
        <v>600</v>
      </c>
      <c r="U54">
        <v>0.5</v>
      </c>
      <c r="V54" t="str">
        <v>deciduous</v>
      </c>
      <c r="W54">
        <v>0</v>
      </c>
      <c r="X54" t="str">
        <v>very bright</v>
      </c>
    </row>
    <row r="55" spans="1:24" x14ac:dyDescent="0.25">
      <c r="A55" t="str">
        <v>Moringa (Horseradish Tree)</v>
      </c>
      <c r="B55" t="str">
        <v>Moringa oleifera</v>
      </c>
      <c r="C55" t="str">
        <v>perennial</v>
      </c>
      <c r="D55" t="str">
        <v>shrub, tree</v>
      </c>
      <c r="F55" t="str">
        <v>medium, light</v>
      </c>
      <c r="G55">
        <v>1450</v>
      </c>
      <c r="H55">
        <v>12</v>
      </c>
      <c r="I55" t="str">
        <f>IF(ISNUMBER(SEARCH("evergreen",Sheet1!AN56)),
    "evergreen",
    IF(ISNUMBER(SEARCH("deciduous",Sheet1!AN56)),
        "deciduous",
        ""
    )
)</f>
        <v>deciduous</v>
      </c>
      <c r="J55" t="str">
        <v>well (dry spells)</v>
      </c>
      <c r="K55" t="str">
        <v>cloudy skies</v>
      </c>
      <c r="N55" t="str">
        <v>Passionfruit</v>
      </c>
      <c r="O55" t="str">
        <v>Passiflora edulis</v>
      </c>
      <c r="P55" t="str">
        <v>perennial</v>
      </c>
      <c r="Q55" t="str">
        <v>vine</v>
      </c>
      <c r="R55">
        <v>0</v>
      </c>
      <c r="S55" t="str">
        <v>medium, organic</v>
      </c>
      <c r="T55">
        <v>1450</v>
      </c>
      <c r="U55">
        <v>5</v>
      </c>
      <c r="V55" t="str">
        <v>evergreen</v>
      </c>
      <c r="W55" t="str">
        <v>well (dry spells)</v>
      </c>
      <c r="X55" t="str">
        <v>very bright</v>
      </c>
    </row>
    <row r="56" spans="1:24" x14ac:dyDescent="0.25">
      <c r="A56" t="str">
        <v>Sweet Potato</v>
      </c>
      <c r="B56">
        <v>0</v>
      </c>
      <c r="C56">
        <v>0</v>
      </c>
      <c r="D56">
        <v>0</v>
      </c>
      <c r="F56">
        <v>0</v>
      </c>
      <c r="G56">
        <v>0</v>
      </c>
      <c r="H56">
        <v>0.5</v>
      </c>
      <c r="I56" t="str">
        <f>IF(ISNUMBER(SEARCH("evergreen",Sheet1!AN57)),
    "evergreen",
    IF(ISNUMBER(SEARCH("deciduous",Sheet1!AN57)),
        "deciduous",
        ""
    )
)</f>
        <v/>
      </c>
      <c r="J56">
        <v>0</v>
      </c>
      <c r="K56">
        <v>0</v>
      </c>
      <c r="N56" t="str">
        <v>Chilli (Red)</v>
      </c>
      <c r="O56" t="str">
        <v>Capsicum frutescens</v>
      </c>
      <c r="P56" t="str">
        <v>perennial</v>
      </c>
      <c r="Q56" t="str">
        <v>sub-shrub</v>
      </c>
      <c r="R56">
        <v>0</v>
      </c>
      <c r="S56" t="str">
        <v>medium, organic</v>
      </c>
      <c r="T56">
        <v>1050</v>
      </c>
      <c r="U56">
        <v>1.5</v>
      </c>
      <c r="V56" t="str">
        <v/>
      </c>
      <c r="W56" t="str">
        <v>well (dry spells)</v>
      </c>
      <c r="X56" t="str">
        <v>cloudy skies</v>
      </c>
    </row>
    <row r="57" spans="1:24" x14ac:dyDescent="0.25">
      <c r="A57" t="str">
        <v>Black-Eyed Pea (Cowpea)</v>
      </c>
      <c r="B57" t="str">
        <v>Vigna unguiculata ssp. stenophylla</v>
      </c>
      <c r="C57" t="str">
        <v>annual</v>
      </c>
      <c r="D57" t="str">
        <v>herb</v>
      </c>
      <c r="F57">
        <v>0</v>
      </c>
      <c r="G57">
        <v>0</v>
      </c>
      <c r="H57">
        <v>0.9</v>
      </c>
      <c r="I57" t="str">
        <f>IF(ISNUMBER(SEARCH("evergreen",Sheet1!AN58)),
    "evergreen",
    IF(ISNUMBER(SEARCH("deciduous",Sheet1!AN58)),
        "deciduous",
        ""
    )
)</f>
        <v/>
      </c>
      <c r="J57">
        <v>0</v>
      </c>
      <c r="K57">
        <v>0</v>
      </c>
      <c r="N57" t="str">
        <v>Chestnut</v>
      </c>
      <c r="O57" t="str">
        <v>Castanea sativa</v>
      </c>
      <c r="P57" t="str">
        <v>perennial</v>
      </c>
      <c r="Q57" t="str">
        <v>tree</v>
      </c>
      <c r="R57">
        <v>0</v>
      </c>
      <c r="S57" t="str">
        <v>medium, light</v>
      </c>
      <c r="T57">
        <v>1100</v>
      </c>
      <c r="U57">
        <v>30</v>
      </c>
      <c r="V57" t="str">
        <v>deciduous</v>
      </c>
      <c r="W57" t="str">
        <v>well (dry spells)</v>
      </c>
      <c r="X57" t="str">
        <v>cloudy skies</v>
      </c>
    </row>
    <row r="58" spans="1:24" x14ac:dyDescent="0.25">
      <c r="A58" t="str">
        <v>Chives</v>
      </c>
      <c r="B58" t="str">
        <v>Allium schoenoprasum</v>
      </c>
      <c r="C58" t="str">
        <v>annual, perennial</v>
      </c>
      <c r="D58" t="str">
        <v>herb</v>
      </c>
      <c r="F58" t="str">
        <v>medium, organic</v>
      </c>
      <c r="G58">
        <v>1025</v>
      </c>
      <c r="H58">
        <v>0.5</v>
      </c>
      <c r="I58" t="str">
        <f>IF(ISNUMBER(SEARCH("evergreen",Sheet1!AN59)),
    "evergreen",
    IF(ISNUMBER(SEARCH("deciduous",Sheet1!AN59)),
        "deciduous",
        ""
    )
)</f>
        <v/>
      </c>
      <c r="J58" t="str">
        <v>well (dry spells)</v>
      </c>
      <c r="K58" t="str">
        <v>clear skies</v>
      </c>
      <c r="N58" t="str">
        <v>Jackfruit</v>
      </c>
      <c r="O58" t="str">
        <v>Artocarpus heterophyllus</v>
      </c>
      <c r="P58" t="str">
        <v>perennial</v>
      </c>
      <c r="Q58" t="str">
        <v>tree</v>
      </c>
      <c r="R58">
        <v>0</v>
      </c>
      <c r="S58" t="str">
        <v>medium</v>
      </c>
      <c r="T58">
        <v>2250</v>
      </c>
      <c r="U58">
        <v>25</v>
      </c>
      <c r="V58" t="str">
        <v>evergreen</v>
      </c>
      <c r="W58" t="str">
        <v>well (dry spells)</v>
      </c>
      <c r="X58" t="str">
        <v>cloudy skies</v>
      </c>
    </row>
    <row r="59" spans="1:24" x14ac:dyDescent="0.25">
      <c r="A59" t="str">
        <v>Water Spinach</v>
      </c>
      <c r="B59" t="str">
        <v>Ipomoea aquatica</v>
      </c>
      <c r="C59" t="str">
        <v>perennial</v>
      </c>
      <c r="D59" t="str">
        <v>herb, vine</v>
      </c>
      <c r="F59" t="str">
        <v>heavy, organic</v>
      </c>
      <c r="G59">
        <v>2250</v>
      </c>
      <c r="H59">
        <v>1</v>
      </c>
      <c r="I59" t="str">
        <f>IF(ISNUMBER(SEARCH("evergreen",Sheet1!AN60)),
    "evergreen",
    IF(ISNUMBER(SEARCH("deciduous",Sheet1!AN60)),
        "deciduous",
        ""
    )
)</f>
        <v>evergreen</v>
      </c>
      <c r="J59" t="str">
        <v>poorly (saturated &gt;50% of year)</v>
      </c>
      <c r="K59" t="str">
        <v>clear skies</v>
      </c>
      <c r="N59" t="str">
        <v>Durian</v>
      </c>
      <c r="O59" t="str">
        <v>Durio zibethinus</v>
      </c>
      <c r="P59" t="str">
        <v>perennial</v>
      </c>
      <c r="Q59" t="str">
        <v>tree</v>
      </c>
      <c r="R59">
        <v>0</v>
      </c>
      <c r="S59" t="str">
        <v>medium, light</v>
      </c>
      <c r="T59">
        <v>2000</v>
      </c>
      <c r="U59">
        <v>40</v>
      </c>
      <c r="V59" t="str">
        <v>evergreen</v>
      </c>
      <c r="W59" t="str">
        <v>well (dry spells)</v>
      </c>
      <c r="X59" t="str">
        <v>light shade</v>
      </c>
    </row>
    <row r="60" spans="1:24" x14ac:dyDescent="0.25">
      <c r="A60" t="str">
        <v>Sago</v>
      </c>
      <c r="B60" t="str">
        <v>Metroxylon sagu</v>
      </c>
      <c r="C60" t="str">
        <v>perennial</v>
      </c>
      <c r="D60" t="str">
        <v>tree</v>
      </c>
      <c r="F60" t="str">
        <v>heavy, medium</v>
      </c>
      <c r="G60">
        <v>3750</v>
      </c>
      <c r="H60">
        <v>15</v>
      </c>
      <c r="I60" t="str">
        <f>IF(ISNUMBER(SEARCH("evergreen",Sheet1!AN61)),
    "evergreen",
    IF(ISNUMBER(SEARCH("deciduous",Sheet1!AN61)),
        "deciduous",
        ""
    )
)</f>
        <v>evergreen</v>
      </c>
      <c r="J60" t="str">
        <v>poorly (saturated &gt;50% of year)</v>
      </c>
      <c r="K60" t="str">
        <v>clear skies</v>
      </c>
      <c r="N60" t="str">
        <v>Custard Apple</v>
      </c>
      <c r="O60" t="str">
        <v>Annona reticulata</v>
      </c>
      <c r="P60" t="str">
        <v>perennial</v>
      </c>
      <c r="Q60" t="str">
        <v>tree</v>
      </c>
      <c r="R60">
        <v>0</v>
      </c>
      <c r="S60" t="str">
        <v>medium</v>
      </c>
      <c r="T60">
        <v>1300</v>
      </c>
      <c r="U60">
        <v>8</v>
      </c>
      <c r="V60" t="str">
        <v>deciduous</v>
      </c>
      <c r="W60" t="str">
        <v>well (dry spells)</v>
      </c>
      <c r="X60" t="str">
        <v>very bright</v>
      </c>
    </row>
    <row r="61" spans="1:24" x14ac:dyDescent="0.25">
      <c r="A61" t="str">
        <v>Bamboo</v>
      </c>
      <c r="B61" t="str">
        <v>Bambusa blumeana</v>
      </c>
      <c r="C61" t="str">
        <v>perennial</v>
      </c>
      <c r="D61" t="str">
        <v>grass</v>
      </c>
      <c r="F61" t="str">
        <v>heavy</v>
      </c>
      <c r="G61">
        <v>2750</v>
      </c>
      <c r="H61">
        <v>30</v>
      </c>
      <c r="I61" t="str">
        <f>IF(ISNUMBER(SEARCH("evergreen",Sheet1!AN62)),
    "evergreen",
    IF(ISNUMBER(SEARCH("deciduous",Sheet1!AN62)),
        "deciduous",
        ""
    )
)</f>
        <v/>
      </c>
      <c r="J61" t="str">
        <v>well (dry spells)</v>
      </c>
      <c r="K61" t="str">
        <v>very bright</v>
      </c>
      <c r="N61" t="str">
        <v>Cherimoya</v>
      </c>
      <c r="O61" t="str">
        <v>Annona cherimola</v>
      </c>
      <c r="P61" t="str">
        <v>perennial</v>
      </c>
      <c r="Q61" t="str">
        <v>shrub, tree</v>
      </c>
      <c r="R61">
        <v>0</v>
      </c>
      <c r="S61" t="str">
        <v>medium, light</v>
      </c>
      <c r="T61">
        <v>1000</v>
      </c>
      <c r="U61">
        <v>9</v>
      </c>
      <c r="V61" t="str">
        <v>deciduous</v>
      </c>
      <c r="W61" t="str">
        <v>well (dry spells)</v>
      </c>
      <c r="X61" t="str">
        <v>light shade</v>
      </c>
    </row>
    <row r="62" spans="1:24" x14ac:dyDescent="0.25">
      <c r="A62" t="str">
        <v>Rocket (Arugula)</v>
      </c>
      <c r="B62">
        <v>0</v>
      </c>
      <c r="C62">
        <v>0</v>
      </c>
      <c r="D62">
        <v>0</v>
      </c>
      <c r="F62">
        <v>0</v>
      </c>
      <c r="G62">
        <v>0</v>
      </c>
      <c r="H62">
        <v>0.6</v>
      </c>
      <c r="I62" t="str">
        <f>IF(ISNUMBER(SEARCH("evergreen",Sheet1!AN63)),
    "evergreen",
    IF(ISNUMBER(SEARCH("deciduous",Sheet1!AN63)),
        "deciduous",
        ""
    )
)</f>
        <v/>
      </c>
      <c r="J62">
        <v>0</v>
      </c>
      <c r="K62">
        <v>0</v>
      </c>
      <c r="N62" t="str">
        <v>Taro</v>
      </c>
      <c r="O62" t="str">
        <v>Colocasia esculenta</v>
      </c>
      <c r="P62" t="str">
        <v>perennial</v>
      </c>
      <c r="Q62" t="str">
        <v>herb</v>
      </c>
      <c r="R62">
        <v>0</v>
      </c>
      <c r="S62" t="str">
        <v>medium, organic</v>
      </c>
      <c r="T62">
        <v>2250</v>
      </c>
      <c r="U62">
        <v>2</v>
      </c>
      <c r="V62" t="str">
        <v/>
      </c>
      <c r="W62" t="str">
        <v>poorly (saturated &gt;50% of year), well (dry spells)</v>
      </c>
      <c r="X62" t="str">
        <v>light shade</v>
      </c>
    </row>
    <row r="63" spans="1:24" x14ac:dyDescent="0.25">
      <c r="A63" t="str">
        <v>Capsicum (Red)</v>
      </c>
      <c r="B63" t="str">
        <v>Capsicum annuum</v>
      </c>
      <c r="C63" t="str">
        <v>annual</v>
      </c>
      <c r="D63" t="str">
        <v>herb</v>
      </c>
      <c r="F63" t="str">
        <v>medium, organic</v>
      </c>
      <c r="G63">
        <v>925</v>
      </c>
      <c r="H63">
        <v>1.5</v>
      </c>
      <c r="I63" t="str">
        <f>IF(ISNUMBER(SEARCH("evergreen",Sheet1!AN64)),
    "evergreen",
    IF(ISNUMBER(SEARCH("deciduous",Sheet1!AN64)),
        "deciduous",
        ""
    )
)</f>
        <v/>
      </c>
      <c r="J63" t="str">
        <v>well (dry spells)</v>
      </c>
      <c r="K63" t="str">
        <v>cloudy skies</v>
      </c>
      <c r="N63" t="str">
        <v>Raspberry</v>
      </c>
      <c r="O63" t="str">
        <v>Rubus idaeus ssp. idaeus</v>
      </c>
      <c r="P63" t="str">
        <v>perennial</v>
      </c>
      <c r="Q63" t="str">
        <v>sub-shrub</v>
      </c>
      <c r="R63">
        <v>0</v>
      </c>
      <c r="S63" t="str">
        <v>medium, organic</v>
      </c>
      <c r="T63">
        <v>1000</v>
      </c>
      <c r="U63">
        <v>2</v>
      </c>
      <c r="V63" t="str">
        <v>deciduous</v>
      </c>
      <c r="W63" t="str">
        <v>well (dry spells)</v>
      </c>
      <c r="X63" t="str">
        <v>cloudy skies</v>
      </c>
    </row>
    <row r="64" spans="1:24" x14ac:dyDescent="0.25">
      <c r="A64" t="str">
        <v>Arrowroot</v>
      </c>
      <c r="B64" t="str">
        <v>Maranta arundinacea</v>
      </c>
      <c r="C64" t="str">
        <v>perennial</v>
      </c>
      <c r="D64" t="str">
        <v>herb</v>
      </c>
      <c r="F64" t="str">
        <v>medium</v>
      </c>
      <c r="G64">
        <v>1750</v>
      </c>
      <c r="H64">
        <v>1.8</v>
      </c>
      <c r="I64" t="str">
        <f>IF(ISNUMBER(SEARCH("evergreen",Sheet1!AN65)),
    "evergreen",
    IF(ISNUMBER(SEARCH("deciduous",Sheet1!AN65)),
        "deciduous",
        ""
    )
)</f>
        <v/>
      </c>
      <c r="J64" t="str">
        <v>well (dry spells)</v>
      </c>
      <c r="K64" t="str">
        <v>light shade</v>
      </c>
      <c r="N64" t="str">
        <v>Avocado</v>
      </c>
      <c r="O64" t="str">
        <v>Persea americana</v>
      </c>
      <c r="P64" t="str">
        <v>perennial</v>
      </c>
      <c r="Q64" t="str">
        <v>tree</v>
      </c>
      <c r="R64">
        <v>0</v>
      </c>
      <c r="S64" t="str">
        <v>medium</v>
      </c>
      <c r="T64">
        <v>1250</v>
      </c>
      <c r="U64">
        <v>20</v>
      </c>
      <c r="V64" t="str">
        <v>evergreen</v>
      </c>
      <c r="W64" t="str">
        <v>well (dry spells)</v>
      </c>
      <c r="X64" t="str">
        <v>very bright</v>
      </c>
    </row>
    <row r="65" spans="1:24" x14ac:dyDescent="0.25">
      <c r="A65" t="str">
        <v>Okra</v>
      </c>
      <c r="B65" t="str">
        <v>Abelmoschus esculentus</v>
      </c>
      <c r="C65" t="str">
        <v>annual</v>
      </c>
      <c r="D65" t="str">
        <v>herb</v>
      </c>
      <c r="F65" t="str">
        <v>heavy, medium, light, organic</v>
      </c>
      <c r="G65">
        <v>900</v>
      </c>
      <c r="H65">
        <v>2.5</v>
      </c>
      <c r="I65" t="str">
        <f>IF(ISNUMBER(SEARCH("evergreen",Sheet1!AN66)),
    "evergreen",
    IF(ISNUMBER(SEARCH("deciduous",Sheet1!AN66)),
        "deciduous",
        ""
    )
)</f>
        <v/>
      </c>
      <c r="J65" t="str">
        <v>well (dry spells)</v>
      </c>
      <c r="K65" t="str">
        <v>cloudy skies</v>
      </c>
      <c r="N65" t="str">
        <v>Asparagus</v>
      </c>
      <c r="O65" t="str">
        <v>Asparagus officinalis</v>
      </c>
      <c r="P65" t="str">
        <v>perennial</v>
      </c>
      <c r="Q65" t="str">
        <v>herb</v>
      </c>
      <c r="R65">
        <v>0</v>
      </c>
      <c r="S65" t="str">
        <v>medium, organic</v>
      </c>
      <c r="T65">
        <v>1000</v>
      </c>
      <c r="U65">
        <v>1.8</v>
      </c>
      <c r="V65" t="str">
        <v/>
      </c>
      <c r="W65" t="str">
        <v>well (dry spells)</v>
      </c>
      <c r="X65" t="str">
        <v>cloudy skies</v>
      </c>
    </row>
    <row r="66" spans="1:24" x14ac:dyDescent="0.25">
      <c r="A66" t="str">
        <v>Yam</v>
      </c>
      <c r="B66" t="str">
        <v>Dioscorea alata</v>
      </c>
      <c r="C66" t="str">
        <v>perennial</v>
      </c>
      <c r="D66" t="str">
        <v>vine</v>
      </c>
      <c r="F66" t="str">
        <v>medium, light</v>
      </c>
      <c r="G66">
        <v>2600</v>
      </c>
      <c r="H66">
        <v>0.5</v>
      </c>
      <c r="I66" t="str">
        <f>IF(ISNUMBER(SEARCH("evergreen",Sheet1!AN67)),
    "evergreen",
    IF(ISNUMBER(SEARCH("deciduous",Sheet1!AN67)),
        "deciduous",
        ""
    )
)</f>
        <v>deciduous</v>
      </c>
      <c r="J66" t="str">
        <v>well (dry spells)</v>
      </c>
      <c r="K66" t="str">
        <v>light shade</v>
      </c>
      <c r="N66" t="str">
        <v>Pawpaw / Papaya</v>
      </c>
      <c r="O66" t="str">
        <v>Carica papaya</v>
      </c>
      <c r="P66" t="str">
        <v>perennial</v>
      </c>
      <c r="Q66" t="str">
        <v>herb</v>
      </c>
      <c r="R66">
        <v>0</v>
      </c>
      <c r="S66" t="str">
        <v>medium, organic</v>
      </c>
      <c r="T66">
        <v>2000</v>
      </c>
      <c r="U66">
        <v>6</v>
      </c>
      <c r="V66" t="str">
        <v>evergreen</v>
      </c>
      <c r="W66" t="str">
        <v>well (dry spells)</v>
      </c>
      <c r="X66" t="str">
        <v>cloudy skies</v>
      </c>
    </row>
    <row r="67" spans="1:24" x14ac:dyDescent="0.25">
      <c r="A67" t="str">
        <v>Celeriac</v>
      </c>
      <c r="B67" t="str">
        <v>Apium graveolens var. rapaceum</v>
      </c>
      <c r="C67" t="str">
        <v>annual, biennial</v>
      </c>
      <c r="D67" t="str">
        <v>herb</v>
      </c>
      <c r="F67" t="str">
        <v>medium, organic</v>
      </c>
      <c r="G67">
        <v>1100</v>
      </c>
      <c r="H67">
        <v>0.8</v>
      </c>
      <c r="I67" t="str">
        <f>IF(ISNUMBER(SEARCH("evergreen",Sheet1!AN68)),
    "evergreen",
    IF(ISNUMBER(SEARCH("deciduous",Sheet1!AN68)),
        "deciduous",
        ""
    )
)</f>
        <v/>
      </c>
      <c r="J67" t="str">
        <v>well (dry spells)</v>
      </c>
      <c r="K67" t="str">
        <v>cloudy skies</v>
      </c>
      <c r="N67" t="str">
        <v>Persimmon</v>
      </c>
      <c r="O67" t="str">
        <v>Diospyros kaki</v>
      </c>
      <c r="P67" t="str">
        <v>perennial</v>
      </c>
      <c r="Q67" t="str">
        <v>tree</v>
      </c>
      <c r="R67">
        <v>0</v>
      </c>
      <c r="S67" t="str">
        <v>medium</v>
      </c>
      <c r="T67">
        <v>1350</v>
      </c>
      <c r="U67">
        <v>12</v>
      </c>
      <c r="V67" t="str">
        <v>deciduous</v>
      </c>
      <c r="W67" t="str">
        <v>well (dry spells)</v>
      </c>
      <c r="X67" t="str">
        <v>cloudy skies</v>
      </c>
    </row>
    <row r="68" spans="1:24" x14ac:dyDescent="0.25">
      <c r="A68" t="str">
        <v>Ginger</v>
      </c>
      <c r="B68" t="str">
        <v>Alpinia galanga</v>
      </c>
      <c r="C68" t="str">
        <v>perennial</v>
      </c>
      <c r="D68" t="str">
        <v>herb</v>
      </c>
      <c r="F68" t="str">
        <v>heavy, medium, light</v>
      </c>
      <c r="G68">
        <v>2750</v>
      </c>
      <c r="H68">
        <v>1.2</v>
      </c>
      <c r="I68" t="str">
        <f>IF(ISNUMBER(SEARCH("evergreen",Sheet1!AN69)),
    "evergreen",
    IF(ISNUMBER(SEARCH("deciduous",Sheet1!AN69)),
        "deciduous",
        ""
    )
)</f>
        <v/>
      </c>
      <c r="J68" t="str">
        <v>well (dry spells)</v>
      </c>
      <c r="K68" t="str">
        <v>light shade</v>
      </c>
      <c r="N68" t="str">
        <v>Pineapple</v>
      </c>
      <c r="O68" t="str">
        <v>Ananas comosus</v>
      </c>
      <c r="P68" t="str">
        <v>perennial</v>
      </c>
      <c r="Q68" t="str">
        <v>herb</v>
      </c>
      <c r="R68">
        <v>0</v>
      </c>
      <c r="S68" t="str">
        <v>medium, light</v>
      </c>
      <c r="T68">
        <v>1650</v>
      </c>
      <c r="U68">
        <v>1.5</v>
      </c>
      <c r="V68" t="str">
        <v/>
      </c>
      <c r="W68" t="str">
        <v>well (dry spells)</v>
      </c>
      <c r="X68" t="str">
        <v>light shade</v>
      </c>
    </row>
    <row r="69" spans="1:24" x14ac:dyDescent="0.25">
      <c r="A69" t="str">
        <v>Moringa (Horseradish Tree)</v>
      </c>
      <c r="B69" t="str">
        <v>Moringa oleifera</v>
      </c>
      <c r="C69" t="str">
        <v>perennial</v>
      </c>
      <c r="D69" t="str">
        <v>shrub, tree</v>
      </c>
      <c r="F69" t="str">
        <v>medium, light</v>
      </c>
      <c r="G69">
        <v>1450</v>
      </c>
      <c r="H69">
        <v>12</v>
      </c>
      <c r="I69" t="str">
        <f>IF(ISNUMBER(SEARCH("evergreen",Sheet1!AN70)),
    "evergreen",
    IF(ISNUMBER(SEARCH("deciduous",Sheet1!AN70)),
        "deciduous",
        ""
    )
)</f>
        <v>deciduous</v>
      </c>
      <c r="J69" t="str">
        <v>well (dry spells)</v>
      </c>
      <c r="K69" t="str">
        <v>cloudy skies</v>
      </c>
      <c r="N69" t="str">
        <v>Orange</v>
      </c>
      <c r="O69" t="str">
        <v>Citrus sinensis</v>
      </c>
      <c r="P69" t="str">
        <v>perennial</v>
      </c>
      <c r="Q69" t="str">
        <v>tree</v>
      </c>
      <c r="R69">
        <v>0</v>
      </c>
      <c r="S69" t="str">
        <v>medium, light</v>
      </c>
      <c r="T69">
        <v>1600</v>
      </c>
      <c r="U69">
        <v>10</v>
      </c>
      <c r="V69" t="str">
        <v>evergreen</v>
      </c>
      <c r="W69" t="str">
        <v>well (dry spells)</v>
      </c>
      <c r="X69" t="str">
        <v>clear skies</v>
      </c>
    </row>
    <row r="70" spans="1:24" x14ac:dyDescent="0.25">
      <c r="A70" t="str">
        <v>Cassava</v>
      </c>
      <c r="B70" t="str">
        <v>Manihot esculenta</v>
      </c>
      <c r="C70" t="str">
        <v>perennial</v>
      </c>
      <c r="D70" t="str">
        <v>shrub</v>
      </c>
      <c r="F70" t="str">
        <v>medium, light</v>
      </c>
      <c r="G70">
        <v>1250</v>
      </c>
      <c r="H70">
        <v>4</v>
      </c>
      <c r="I70" t="str">
        <f>IF(ISNUMBER(SEARCH("evergreen",Sheet1!AN71)),
    "evergreen",
    IF(ISNUMBER(SEARCH("deciduous",Sheet1!AN71)),
        "deciduous",
        ""
    )
)</f>
        <v/>
      </c>
      <c r="J70" t="str">
        <v>well (dry spells)</v>
      </c>
      <c r="K70" t="str">
        <v>cloudy skies</v>
      </c>
      <c r="N70" t="str">
        <v>Lime</v>
      </c>
      <c r="O70" t="str">
        <v>Citrus aurantifolia</v>
      </c>
      <c r="P70" t="str">
        <v>perennial</v>
      </c>
      <c r="Q70" t="str">
        <v>tree</v>
      </c>
      <c r="R70">
        <v>0</v>
      </c>
      <c r="S70" t="str">
        <v>medium, light</v>
      </c>
      <c r="T70">
        <v>2450</v>
      </c>
      <c r="U70">
        <v>5</v>
      </c>
      <c r="V70" t="str">
        <v>evergreen</v>
      </c>
      <c r="W70" t="str">
        <v>well (dry spells)</v>
      </c>
      <c r="X70" t="str">
        <v>clear skies</v>
      </c>
    </row>
    <row r="71" spans="1:24" x14ac:dyDescent="0.25">
      <c r="A71" t="str">
        <v>Turnip</v>
      </c>
      <c r="B71">
        <v>0</v>
      </c>
      <c r="C71">
        <v>0</v>
      </c>
      <c r="D71">
        <v>0</v>
      </c>
      <c r="F71">
        <v>0</v>
      </c>
      <c r="G71">
        <v>0</v>
      </c>
      <c r="H71">
        <v>0.6</v>
      </c>
      <c r="I71" t="str">
        <f>IF(ISNUMBER(SEARCH("evergreen",Sheet1!AN72)),
    "evergreen",
    IF(ISNUMBER(SEARCH("deciduous",Sheet1!AN72)),
        "deciduous",
        ""
    )
)</f>
        <v/>
      </c>
      <c r="J71">
        <v>0</v>
      </c>
      <c r="K71">
        <v>0</v>
      </c>
      <c r="N71" t="str">
        <v>Tangelo</v>
      </c>
      <c r="O71" t="str">
        <v>Citrus aurantium</v>
      </c>
      <c r="P71" t="str">
        <v>perennial</v>
      </c>
      <c r="Q71" t="str">
        <v>tree</v>
      </c>
      <c r="R71">
        <v>0</v>
      </c>
      <c r="S71" t="str">
        <v>medium, light</v>
      </c>
      <c r="T71">
        <v>1300</v>
      </c>
      <c r="U71">
        <v>8</v>
      </c>
      <c r="V71" t="str">
        <v>evergreen</v>
      </c>
      <c r="W71" t="str">
        <v>well (dry spells)</v>
      </c>
      <c r="X71" t="str">
        <v>clear skies</v>
      </c>
    </row>
    <row r="72" spans="1:24" x14ac:dyDescent="0.25">
      <c r="A72" t="str">
        <v>Artichoke (Jerusalem)</v>
      </c>
      <c r="B72" t="str">
        <v>Helianthus tuberosus</v>
      </c>
      <c r="C72" t="str">
        <v>perennial</v>
      </c>
      <c r="D72" t="str">
        <v>herb</v>
      </c>
      <c r="F72" t="str">
        <v>medium, organic</v>
      </c>
      <c r="G72">
        <v>1100</v>
      </c>
      <c r="H72">
        <v>3.5</v>
      </c>
      <c r="I72" t="str">
        <f>IF(ISNUMBER(SEARCH("evergreen",Sheet1!AN73)),
    "evergreen",
    IF(ISNUMBER(SEARCH("deciduous",Sheet1!AN73)),
        "deciduous",
        ""
    )
)</f>
        <v/>
      </c>
      <c r="J72" t="str">
        <v>well (dry spells)</v>
      </c>
      <c r="K72" t="str">
        <v>cloudy skies</v>
      </c>
      <c r="N72" t="str">
        <v>Black Currant</v>
      </c>
      <c r="O72" t="str">
        <v>Ribes nigrum</v>
      </c>
      <c r="P72" t="str">
        <v>perennial</v>
      </c>
      <c r="Q72" t="str">
        <v>shrub</v>
      </c>
      <c r="R72">
        <v>0</v>
      </c>
      <c r="S72" t="str">
        <v>medium</v>
      </c>
      <c r="T72">
        <v>800</v>
      </c>
      <c r="U72">
        <v>1.8</v>
      </c>
      <c r="V72" t="str">
        <v>deciduous</v>
      </c>
      <c r="W72" t="str">
        <v>well (dry spells)</v>
      </c>
      <c r="X72" t="str">
        <v>cloudy skies</v>
      </c>
    </row>
    <row r="73" spans="1:24" x14ac:dyDescent="0.25">
      <c r="A73" t="str">
        <v>Fennel</v>
      </c>
      <c r="B73" t="str">
        <v>Foeniculum vulgare</v>
      </c>
      <c r="C73" t="str">
        <v>biennial, perennial</v>
      </c>
      <c r="D73" t="str">
        <v>herb</v>
      </c>
      <c r="F73" t="str">
        <v>medium</v>
      </c>
      <c r="G73">
        <v>1100</v>
      </c>
      <c r="H73">
        <v>2</v>
      </c>
      <c r="I73" t="str">
        <f>IF(ISNUMBER(SEARCH("evergreen",Sheet1!AN74)),
    "evergreen",
    IF(ISNUMBER(SEARCH("deciduous",Sheet1!AN74)),
        "deciduous",
        ""
    )
)</f>
        <v/>
      </c>
      <c r="J73" t="str">
        <v>well (dry spells)</v>
      </c>
      <c r="K73" t="str">
        <v>clear skies</v>
      </c>
      <c r="N73" t="str">
        <v>Mandarin</v>
      </c>
      <c r="O73" t="str">
        <v>Citrus reticulata</v>
      </c>
      <c r="P73" t="str">
        <v>perennial</v>
      </c>
      <c r="Q73" t="str">
        <v>tree</v>
      </c>
      <c r="R73">
        <v>0</v>
      </c>
      <c r="S73" t="str">
        <v>medium, light</v>
      </c>
      <c r="T73">
        <v>1500</v>
      </c>
      <c r="U73">
        <v>7</v>
      </c>
      <c r="V73" t="str">
        <v>evergreen</v>
      </c>
      <c r="W73" t="str">
        <v>well (dry spells)</v>
      </c>
      <c r="X73" t="str">
        <v>clear skies</v>
      </c>
    </row>
    <row r="74" spans="1:24" x14ac:dyDescent="0.25">
      <c r="A74" t="str">
        <v>Cabbage (Red)</v>
      </c>
      <c r="B74" t="str">
        <v>Brassica oleracea var. capitata</v>
      </c>
      <c r="C74" t="str">
        <v>biennial</v>
      </c>
      <c r="D74" t="str">
        <v>herb</v>
      </c>
      <c r="F74" t="str">
        <v>medium, organic</v>
      </c>
      <c r="G74">
        <v>750</v>
      </c>
      <c r="H74">
        <v>0.7</v>
      </c>
      <c r="I74" t="str">
        <f>IF(ISNUMBER(SEARCH("evergreen",Sheet1!AN75)),
    "evergreen",
    IF(ISNUMBER(SEARCH("deciduous",Sheet1!AN75)),
        "deciduous",
        ""
    )
)</f>
        <v/>
      </c>
      <c r="J74" t="str">
        <v>well (dry spells)</v>
      </c>
      <c r="K74" t="str">
        <v>light shade</v>
      </c>
      <c r="N74" t="str">
        <v>Mango</v>
      </c>
      <c r="O74" t="str">
        <v>Mangifera indica</v>
      </c>
      <c r="P74" t="str">
        <v>perennial</v>
      </c>
      <c r="Q74" t="str">
        <v>tree</v>
      </c>
      <c r="R74">
        <v>0</v>
      </c>
      <c r="S74" t="str">
        <v>medium, light</v>
      </c>
      <c r="T74">
        <v>1050</v>
      </c>
      <c r="U74">
        <v>30</v>
      </c>
      <c r="V74" t="str">
        <v/>
      </c>
      <c r="W74" t="str">
        <v>well (dry spells)</v>
      </c>
      <c r="X74" t="str">
        <v>very bright</v>
      </c>
    </row>
    <row r="75" spans="1:24" x14ac:dyDescent="0.25">
      <c r="A75" t="str">
        <v>Sweet Potato</v>
      </c>
      <c r="B75">
        <v>0</v>
      </c>
      <c r="C75">
        <v>0</v>
      </c>
      <c r="D75">
        <v>0</v>
      </c>
      <c r="F75">
        <v>0</v>
      </c>
      <c r="G75">
        <v>0</v>
      </c>
      <c r="H75">
        <v>0.5</v>
      </c>
      <c r="I75" t="str">
        <f>IF(ISNUMBER(SEARCH("evergreen",Sheet1!AN76)),
    "evergreen",
    IF(ISNUMBER(SEARCH("deciduous",Sheet1!AN76)),
        "deciduous",
        ""
    )
)</f>
        <v/>
      </c>
      <c r="J75">
        <v>0</v>
      </c>
      <c r="K75">
        <v>0</v>
      </c>
      <c r="N75" t="str">
        <v>Grapefruit</v>
      </c>
      <c r="O75" t="str">
        <v>Citrus paradisi</v>
      </c>
      <c r="P75" t="str">
        <v>perennial</v>
      </c>
      <c r="Q75" t="str">
        <v>tree</v>
      </c>
      <c r="R75">
        <v>0</v>
      </c>
      <c r="S75" t="str">
        <v>medium, light</v>
      </c>
      <c r="T75">
        <v>1900</v>
      </c>
      <c r="U75">
        <v>15</v>
      </c>
      <c r="V75" t="str">
        <v>evergreen</v>
      </c>
      <c r="W75" t="str">
        <v>well (dry spells)</v>
      </c>
      <c r="X75" t="str">
        <v>clear skies</v>
      </c>
    </row>
    <row r="76" spans="1:24" x14ac:dyDescent="0.25">
      <c r="A76" t="str">
        <v>Sugar Apple</v>
      </c>
      <c r="B76" t="str">
        <v>Annona squamosa</v>
      </c>
      <c r="C76" t="str">
        <v>perennial</v>
      </c>
      <c r="D76" t="str">
        <v>shrub, tree</v>
      </c>
      <c r="F76" t="str">
        <v>medium, light</v>
      </c>
      <c r="G76">
        <v>1000</v>
      </c>
      <c r="H76">
        <v>8</v>
      </c>
      <c r="I76" t="str">
        <f>IF(ISNUMBER(SEARCH("evergreen",Sheet1!AN77)),
    "evergreen",
    IF(ISNUMBER(SEARCH("deciduous",Sheet1!AN77)),
        "deciduous",
        ""
    )
)</f>
        <v>evergreen</v>
      </c>
      <c r="J76" t="str">
        <v>well (dry spells)</v>
      </c>
      <c r="K76" t="str">
        <v>cloudy skies</v>
      </c>
      <c r="N76" t="str">
        <v>Sour Cherry</v>
      </c>
      <c r="O76" t="str">
        <v>Prunus cerasus</v>
      </c>
      <c r="P76" t="str">
        <v>perennial</v>
      </c>
      <c r="Q76" t="str">
        <v>tree</v>
      </c>
      <c r="R76">
        <v>0</v>
      </c>
      <c r="S76" t="str">
        <v>medium</v>
      </c>
      <c r="T76">
        <v>1200</v>
      </c>
      <c r="U76">
        <v>8</v>
      </c>
      <c r="V76" t="str">
        <v>deciduous</v>
      </c>
      <c r="W76" t="str">
        <v>well (dry spells)</v>
      </c>
      <c r="X76" t="str">
        <v>cloudy skies</v>
      </c>
    </row>
    <row r="77" spans="1:24" x14ac:dyDescent="0.25">
      <c r="A77" t="str">
        <v>Guava</v>
      </c>
      <c r="B77" t="str">
        <v>Psidium guajava</v>
      </c>
      <c r="C77" t="str">
        <v>perennial</v>
      </c>
      <c r="D77" t="str">
        <v>shrub, tree</v>
      </c>
      <c r="F77" t="str">
        <v>medium, organic</v>
      </c>
      <c r="G77">
        <v>2000</v>
      </c>
      <c r="H77">
        <v>10</v>
      </c>
      <c r="I77" t="str">
        <f>IF(ISNUMBER(SEARCH("evergreen",Sheet1!AN78)),
    "evergreen",
    IF(ISNUMBER(SEARCH("deciduous",Sheet1!AN78)),
        "deciduous",
        ""
    )
)</f>
        <v>evergreen</v>
      </c>
      <c r="J77" t="str">
        <v>well (dry spells)</v>
      </c>
      <c r="K77" t="str">
        <v>cloudy skies</v>
      </c>
      <c r="N77" t="str">
        <v>Apricot</v>
      </c>
      <c r="O77" t="str">
        <v>Prunus armeniaca</v>
      </c>
      <c r="P77" t="str">
        <v>perennial</v>
      </c>
      <c r="Q77" t="str">
        <v>tree</v>
      </c>
      <c r="R77">
        <v>0</v>
      </c>
      <c r="S77" t="str">
        <v>medium</v>
      </c>
      <c r="T77">
        <v>1100</v>
      </c>
      <c r="U77">
        <v>8</v>
      </c>
      <c r="V77" t="str">
        <v>deciduous</v>
      </c>
      <c r="W77" t="str">
        <v>well (dry spells)</v>
      </c>
      <c r="X77" t="str">
        <v>clear skies</v>
      </c>
    </row>
    <row r="78" spans="1:24" x14ac:dyDescent="0.25">
      <c r="A78" t="str">
        <v>Breadfruit</v>
      </c>
      <c r="B78" t="str">
        <v>Artocarpus altilis</v>
      </c>
      <c r="C78" t="str">
        <v>perennial</v>
      </c>
      <c r="D78" t="str">
        <v>tree</v>
      </c>
      <c r="F78" t="str">
        <v>heavy, medium, light, organic</v>
      </c>
      <c r="G78">
        <v>2250</v>
      </c>
      <c r="H78">
        <v>26</v>
      </c>
      <c r="I78" t="str">
        <f>IF(ISNUMBER(SEARCH("evergreen",Sheet1!AN79)),
    "evergreen",
    IF(ISNUMBER(SEARCH("deciduous",Sheet1!AN79)),
        "deciduous",
        ""
    )
)</f>
        <v>evergreen</v>
      </c>
      <c r="J78" t="str">
        <v>well (dry spells)</v>
      </c>
      <c r="K78" t="str">
        <v>light shade</v>
      </c>
      <c r="N78" t="str">
        <v>Cumquat (Kumquat)</v>
      </c>
      <c r="O78" t="str">
        <v>Fortunella hindsii</v>
      </c>
      <c r="P78" t="str">
        <v>perennial</v>
      </c>
      <c r="Q78" t="str">
        <v>shrub, tree</v>
      </c>
      <c r="R78">
        <v>0</v>
      </c>
      <c r="S78" t="str">
        <v>medium</v>
      </c>
      <c r="T78">
        <v>1300</v>
      </c>
      <c r="U78">
        <v>4.5</v>
      </c>
      <c r="V78" t="str">
        <v>evergreen</v>
      </c>
      <c r="W78" t="str">
        <v>well (dry spells)</v>
      </c>
      <c r="X78" t="str">
        <v>cloudy skies</v>
      </c>
    </row>
    <row r="79" spans="1:24" x14ac:dyDescent="0.25">
      <c r="A79" t="str">
        <v>Loquat</v>
      </c>
      <c r="B79" t="str">
        <v>Eriobotrya japonica</v>
      </c>
      <c r="C79" t="str">
        <v>perennial</v>
      </c>
      <c r="D79" t="str">
        <v>shrub, tree</v>
      </c>
      <c r="F79" t="str">
        <v>medium, light</v>
      </c>
      <c r="G79">
        <v>1100</v>
      </c>
      <c r="H79">
        <v>10</v>
      </c>
      <c r="I79" t="str">
        <f>IF(ISNUMBER(SEARCH("evergreen",Sheet1!AN80)),
    "evergreen",
    IF(ISNUMBER(SEARCH("deciduous",Sheet1!AN80)),
        "deciduous",
        ""
    )
)</f>
        <v/>
      </c>
      <c r="J79" t="str">
        <v>well (dry spells)</v>
      </c>
      <c r="K79" t="str">
        <v>cloudy skies</v>
      </c>
      <c r="N79" t="str">
        <v>Plum</v>
      </c>
      <c r="O79" t="str">
        <v>Prunus domestica</v>
      </c>
      <c r="P79" t="str">
        <v>perennial</v>
      </c>
      <c r="Q79" t="str">
        <v>tree</v>
      </c>
      <c r="R79">
        <v>0</v>
      </c>
      <c r="S79" t="str">
        <v>heavy, medium</v>
      </c>
      <c r="T79">
        <v>1200</v>
      </c>
      <c r="U79">
        <v>8</v>
      </c>
      <c r="V79" t="str">
        <v/>
      </c>
      <c r="W79" t="str">
        <v>well (dry spells)</v>
      </c>
      <c r="X79" t="str">
        <v>clear skies</v>
      </c>
    </row>
    <row r="80" spans="1:24" x14ac:dyDescent="0.25">
      <c r="A80" t="str">
        <v>Gooseberry</v>
      </c>
      <c r="B80" t="str">
        <v>Ribes uva-crispa</v>
      </c>
      <c r="C80" t="str">
        <v>perennial</v>
      </c>
      <c r="D80" t="str">
        <v>shrub</v>
      </c>
      <c r="F80" t="str">
        <v>heavy</v>
      </c>
      <c r="G80">
        <v>1100</v>
      </c>
      <c r="H80">
        <v>1.5</v>
      </c>
      <c r="I80" t="str">
        <f>IF(ISNUMBER(SEARCH("evergreen",Sheet1!AN81)),
    "evergreen",
    IF(ISNUMBER(SEARCH("deciduous",Sheet1!AN81)),
        "deciduous",
        ""
    )
)</f>
        <v/>
      </c>
      <c r="J80" t="str">
        <v>well (dry spells)</v>
      </c>
      <c r="K80" t="str">
        <v>cloudy skies</v>
      </c>
      <c r="N80" t="str">
        <v>Tangerine / Tangor</v>
      </c>
      <c r="O80" t="str">
        <v>Citrus reticulata</v>
      </c>
      <c r="P80" t="str">
        <v>perennial</v>
      </c>
      <c r="Q80" t="str">
        <v>tree</v>
      </c>
      <c r="R80">
        <v>0</v>
      </c>
      <c r="S80" t="str">
        <v>medium, light</v>
      </c>
      <c r="T80">
        <v>1500</v>
      </c>
      <c r="U80">
        <v>7</v>
      </c>
      <c r="V80" t="str">
        <v>evergreen</v>
      </c>
      <c r="W80" t="str">
        <v>well (dry spells)</v>
      </c>
      <c r="X80" t="str">
        <v>clear skies</v>
      </c>
    </row>
    <row r="81" spans="1:24" x14ac:dyDescent="0.25">
      <c r="A81" t="str">
        <v>Radish</v>
      </c>
      <c r="B81" t="str">
        <v>Raphanus sativus</v>
      </c>
      <c r="C81" t="str">
        <v>annual</v>
      </c>
      <c r="D81" t="str">
        <v>herb</v>
      </c>
      <c r="F81" t="str">
        <v>medium, light</v>
      </c>
      <c r="G81">
        <v>1250</v>
      </c>
      <c r="H81">
        <v>0.4</v>
      </c>
      <c r="I81" t="str">
        <f>IF(ISNUMBER(SEARCH("evergreen",Sheet1!AN82)),
    "evergreen",
    IF(ISNUMBER(SEARCH("deciduous",Sheet1!AN82)),
        "deciduous",
        ""
    )
)</f>
        <v/>
      </c>
      <c r="J81" t="str">
        <v>well (dry spells)</v>
      </c>
      <c r="K81" t="str">
        <v>cloudy skies</v>
      </c>
      <c r="N81" t="str">
        <v>Lemon</v>
      </c>
      <c r="O81" t="str">
        <v>Citrus limon</v>
      </c>
      <c r="P81" t="str">
        <v>perennial</v>
      </c>
      <c r="Q81" t="str">
        <v>tree</v>
      </c>
      <c r="R81">
        <v>0</v>
      </c>
      <c r="S81" t="str">
        <v>medium, light</v>
      </c>
      <c r="T81">
        <v>1650</v>
      </c>
      <c r="U81">
        <v>6</v>
      </c>
      <c r="V81" t="str">
        <v>evergreen</v>
      </c>
      <c r="W81" t="str">
        <v>well (dry spells)</v>
      </c>
      <c r="X81" t="str">
        <v>clear skies</v>
      </c>
    </row>
    <row r="82" spans="1:24" x14ac:dyDescent="0.25">
      <c r="A82" t="str">
        <v>Watercress</v>
      </c>
      <c r="B82" t="str">
        <v>Nasturtium officinale</v>
      </c>
      <c r="C82" t="str">
        <v>perennial</v>
      </c>
      <c r="D82" t="str">
        <v>herb</v>
      </c>
      <c r="F82" t="str">
        <v>medium, light</v>
      </c>
      <c r="G82">
        <v>1650</v>
      </c>
      <c r="H82">
        <v>0.5</v>
      </c>
      <c r="I82" t="str">
        <f>IF(ISNUMBER(SEARCH("evergreen",Sheet1!AN83)),
    "evergreen",
    IF(ISNUMBER(SEARCH("deciduous",Sheet1!AN83)),
        "deciduous",
        ""
    )
)</f>
        <v/>
      </c>
      <c r="J82" t="str">
        <v>poorly (saturated &gt;50% of year)</v>
      </c>
      <c r="K82" t="str">
        <v>light shade</v>
      </c>
      <c r="N82" t="str">
        <v>Pomelo</v>
      </c>
      <c r="O82" t="str">
        <v>Citrus grandis</v>
      </c>
      <c r="P82" t="str">
        <v>perennial</v>
      </c>
      <c r="Q82" t="str">
        <v>tree</v>
      </c>
      <c r="R82">
        <v>0</v>
      </c>
      <c r="S82" t="str">
        <v>medium, organic</v>
      </c>
      <c r="T82">
        <v>2000</v>
      </c>
      <c r="U82">
        <v>15</v>
      </c>
      <c r="V82" t="str">
        <v>evergreen</v>
      </c>
      <c r="W82" t="str">
        <v>well (dry spells)</v>
      </c>
      <c r="X82" t="str">
        <v>very bright</v>
      </c>
    </row>
    <row r="83" spans="1:24" x14ac:dyDescent="0.25">
      <c r="A83" t="str">
        <v>Prickly Pear</v>
      </c>
      <c r="B83" t="str">
        <v>Opuntia ficus-indica</v>
      </c>
      <c r="C83" t="str">
        <v>perennial</v>
      </c>
      <c r="D83" t="str">
        <v>shrub</v>
      </c>
      <c r="F83" t="str">
        <v>medium, light</v>
      </c>
      <c r="G83">
        <v>1000</v>
      </c>
      <c r="H83">
        <v>5</v>
      </c>
      <c r="I83" t="str">
        <f>IF(ISNUMBER(SEARCH("evergreen",Sheet1!AN84)),
    "evergreen",
    IF(ISNUMBER(SEARCH("deciduous",Sheet1!AN84)),
        "deciduous",
        ""
    )
)</f>
        <v>evergreen</v>
      </c>
      <c r="J83" t="str">
        <v>well (dry spells), excessive (dry/moderately dry)</v>
      </c>
      <c r="K83" t="str">
        <v>cloudy skies</v>
      </c>
      <c r="N83" t="str">
        <v>Wax Jambu (Rose Apple)</v>
      </c>
      <c r="O83" t="str">
        <v>Eugenia jambos</v>
      </c>
      <c r="P83" t="str">
        <v>perennial</v>
      </c>
      <c r="Q83" t="str">
        <v>tree</v>
      </c>
      <c r="R83">
        <v>0</v>
      </c>
      <c r="S83" t="str">
        <v>medium, organic</v>
      </c>
      <c r="T83">
        <v>1400</v>
      </c>
      <c r="U83">
        <v>10</v>
      </c>
      <c r="V83" t="str">
        <v>evergreen</v>
      </c>
      <c r="W83" t="str">
        <v>well (dry spells)</v>
      </c>
      <c r="X83" t="str">
        <v>light shade</v>
      </c>
    </row>
    <row r="84" spans="1:24" x14ac:dyDescent="0.25">
      <c r="A84" t="str">
        <v>Soursop</v>
      </c>
      <c r="B84" t="str">
        <v>Annona muricata</v>
      </c>
      <c r="C84" t="str">
        <v>perennial</v>
      </c>
      <c r="D84" t="str">
        <v>tree</v>
      </c>
      <c r="F84" t="str">
        <v>heavy, medium</v>
      </c>
      <c r="G84">
        <v>1700</v>
      </c>
      <c r="H84">
        <v>10</v>
      </c>
      <c r="I84" t="str">
        <f>IF(ISNUMBER(SEARCH("evergreen",Sheet1!AN85)),
    "evergreen",
    IF(ISNUMBER(SEARCH("deciduous",Sheet1!AN85)),
        "deciduous",
        ""
    )
)</f>
        <v>evergreen</v>
      </c>
      <c r="J84" t="str">
        <v>well (dry spells)</v>
      </c>
      <c r="K84" t="str">
        <v>cloudy skies</v>
      </c>
      <c r="N84" t="str">
        <v>Rambutan</v>
      </c>
      <c r="O84" t="str">
        <v>Nephelium lappaceum</v>
      </c>
      <c r="P84" t="str">
        <v>perennial</v>
      </c>
      <c r="Q84" t="str">
        <v>tree</v>
      </c>
      <c r="R84">
        <v>0</v>
      </c>
      <c r="S84" t="str">
        <v>medium</v>
      </c>
      <c r="T84">
        <v>2500</v>
      </c>
      <c r="U84">
        <v>25</v>
      </c>
      <c r="V84" t="str">
        <v>evergreen</v>
      </c>
      <c r="W84" t="str">
        <v>well (dry spells)</v>
      </c>
      <c r="X84" t="str">
        <v>light shade</v>
      </c>
    </row>
    <row r="85" spans="1:24" x14ac:dyDescent="0.25">
      <c r="A85" t="str">
        <v>Mulberry</v>
      </c>
      <c r="B85" t="str">
        <v>Morus nigra</v>
      </c>
      <c r="C85" t="str">
        <v>perennial</v>
      </c>
      <c r="D85" t="str">
        <v>tree</v>
      </c>
      <c r="F85" t="str">
        <v>medium</v>
      </c>
      <c r="G85">
        <v>1100</v>
      </c>
      <c r="H85">
        <v>15</v>
      </c>
      <c r="I85" t="str">
        <f>IF(ISNUMBER(SEARCH("evergreen",Sheet1!AN86)),
    "evergreen",
    IF(ISNUMBER(SEARCH("deciduous",Sheet1!AN86)),
        "deciduous",
        ""
    )
)</f>
        <v>deciduous</v>
      </c>
      <c r="J85" t="str">
        <v>well (dry spells)</v>
      </c>
      <c r="K85" t="str">
        <v>cloudy skies</v>
      </c>
      <c r="N85" t="str">
        <v>Apple</v>
      </c>
      <c r="O85" t="str">
        <v>Malus domestica</v>
      </c>
      <c r="P85" t="str">
        <v>perennial</v>
      </c>
      <c r="Q85" t="str">
        <v>tree</v>
      </c>
      <c r="R85">
        <v>0</v>
      </c>
      <c r="S85" t="str">
        <v>medium, light</v>
      </c>
      <c r="T85">
        <v>1600</v>
      </c>
      <c r="U85">
        <v>9</v>
      </c>
      <c r="V85" t="str">
        <v>deciduous</v>
      </c>
      <c r="W85" t="str">
        <v>well (dry spells)</v>
      </c>
      <c r="X85" t="str">
        <v>cloudy skies</v>
      </c>
    </row>
    <row r="86" spans="1:24" x14ac:dyDescent="0.25">
      <c r="A86" t="str">
        <v>Quince</v>
      </c>
      <c r="B86" t="str">
        <v>Cydonia oblonga</v>
      </c>
      <c r="C86" t="str">
        <v>perennial</v>
      </c>
      <c r="D86" t="str">
        <v>shrub, tree</v>
      </c>
      <c r="F86" t="str">
        <v>heavy, medium</v>
      </c>
      <c r="G86">
        <v>800</v>
      </c>
      <c r="H86">
        <v>7</v>
      </c>
      <c r="I86" t="str">
        <f>IF(ISNUMBER(SEARCH("evergreen",Sheet1!AN87)),
    "evergreen",
    IF(ISNUMBER(SEARCH("deciduous",Sheet1!AN87)),
        "deciduous",
        ""
    )
)</f>
        <v>deciduous</v>
      </c>
      <c r="J86" t="str">
        <v>well (dry spells)</v>
      </c>
      <c r="K86" t="str">
        <v>cloudy skies</v>
      </c>
      <c r="N86" t="str">
        <v>Mangosteen</v>
      </c>
      <c r="O86" t="str">
        <v>Garcinia mangostana</v>
      </c>
      <c r="P86" t="str">
        <v>perennial</v>
      </c>
      <c r="Q86" t="str">
        <v>tree</v>
      </c>
      <c r="R86">
        <v>0</v>
      </c>
      <c r="S86" t="str">
        <v>heavy, medium</v>
      </c>
      <c r="T86">
        <v>1800</v>
      </c>
      <c r="U86">
        <v>25</v>
      </c>
      <c r="V86" t="str">
        <v>evergreen</v>
      </c>
      <c r="W86" t="str">
        <v>well (dry spells)</v>
      </c>
      <c r="X86" t="str">
        <v>light shade</v>
      </c>
    </row>
    <row r="87" spans="1:24" x14ac:dyDescent="0.25">
      <c r="A87" t="str">
        <v>Onion (Spring)</v>
      </c>
      <c r="B87" t="str">
        <v>Allium cepa</v>
      </c>
      <c r="C87" t="str">
        <v>biennial</v>
      </c>
      <c r="D87" t="str">
        <v>herb</v>
      </c>
      <c r="F87" t="str">
        <v>medium, organic</v>
      </c>
      <c r="G87">
        <v>475</v>
      </c>
      <c r="H87">
        <v>0.6</v>
      </c>
      <c r="I87" t="str">
        <f>IF(ISNUMBER(SEARCH("evergreen",Sheet1!AN88)),
    "evergreen",
    IF(ISNUMBER(SEARCH("deciduous",Sheet1!AN88)),
        "deciduous",
        ""
    )
)</f>
        <v/>
      </c>
      <c r="J87" t="str">
        <v>well (dry spells)</v>
      </c>
      <c r="K87" t="str">
        <v>very bright</v>
      </c>
      <c r="N87" t="str">
        <v>Peach</v>
      </c>
      <c r="O87" t="str">
        <v>Prunus persica</v>
      </c>
      <c r="P87" t="str">
        <v>perennial</v>
      </c>
      <c r="Q87" t="str">
        <v>shrub, tree</v>
      </c>
      <c r="R87">
        <v>0</v>
      </c>
      <c r="S87" t="str">
        <v>medium, light</v>
      </c>
      <c r="T87">
        <v>1000</v>
      </c>
      <c r="U87">
        <v>7</v>
      </c>
      <c r="V87" t="str">
        <v>deciduous</v>
      </c>
      <c r="W87" t="str">
        <v>well (dry spells)</v>
      </c>
      <c r="X87" t="str">
        <v>cloudy skies</v>
      </c>
    </row>
    <row r="88" spans="1:24" x14ac:dyDescent="0.25">
      <c r="A88" t="str">
        <v>Sapodilla</v>
      </c>
      <c r="B88" t="str">
        <v>Manilkara achras</v>
      </c>
      <c r="C88" t="str">
        <v>perennial</v>
      </c>
      <c r="D88" t="str">
        <v>tree</v>
      </c>
      <c r="F88" t="str">
        <v>medium</v>
      </c>
      <c r="G88">
        <v>1250</v>
      </c>
      <c r="H88">
        <v>25</v>
      </c>
      <c r="I88" t="str">
        <f>IF(ISNUMBER(SEARCH("evergreen",Sheet1!AN89)),
    "evergreen",
    IF(ISNUMBER(SEARCH("deciduous",Sheet1!AN89)),
        "deciduous",
        ""
    )
)</f>
        <v>evergreen</v>
      </c>
      <c r="J88" t="str">
        <v>well (dry spells)</v>
      </c>
      <c r="K88" t="str">
        <v>light shade</v>
      </c>
      <c r="N88" t="str">
        <v>Longan</v>
      </c>
      <c r="O88" t="str">
        <v>Dimocarpus longan var. longan</v>
      </c>
      <c r="P88" t="str">
        <v>perennial</v>
      </c>
      <c r="Q88" t="str">
        <v>shrub, tree</v>
      </c>
      <c r="R88">
        <v>0</v>
      </c>
      <c r="S88" t="str">
        <v>medium, light</v>
      </c>
      <c r="T88">
        <v>1650</v>
      </c>
      <c r="U88">
        <v>20</v>
      </c>
      <c r="V88" t="str">
        <v>evergreen</v>
      </c>
      <c r="W88" t="str">
        <v>well (dry spells)</v>
      </c>
      <c r="X88" t="str">
        <v>light shade</v>
      </c>
    </row>
    <row r="89" spans="1:24" x14ac:dyDescent="0.25">
      <c r="A89" t="str">
        <v>Chilli (Green)</v>
      </c>
      <c r="B89" t="str">
        <v>Capsicum frutescens</v>
      </c>
      <c r="C89" t="str">
        <v>perennial</v>
      </c>
      <c r="D89" t="str">
        <v>sub-shrub</v>
      </c>
      <c r="F89" t="str">
        <v>medium, organic</v>
      </c>
      <c r="G89">
        <v>1050</v>
      </c>
      <c r="H89">
        <v>1.5</v>
      </c>
      <c r="I89" t="str">
        <f>IF(ISNUMBER(SEARCH("evergreen",Sheet1!AN90)),
    "evergreen",
    IF(ISNUMBER(SEARCH("deciduous",Sheet1!AN90)),
        "deciduous",
        ""
    )
)</f>
        <v/>
      </c>
      <c r="J89" t="str">
        <v>well (dry spells)</v>
      </c>
      <c r="K89" t="str">
        <v>cloudy skies</v>
      </c>
      <c r="N89" t="str">
        <v>Grape</v>
      </c>
      <c r="O89" t="str">
        <v>Vitis vinifera</v>
      </c>
      <c r="P89" t="str">
        <v>perennial</v>
      </c>
      <c r="Q89" t="str">
        <v>vine, shrub</v>
      </c>
      <c r="R89">
        <v>0</v>
      </c>
      <c r="S89" t="str">
        <v>medium, organic</v>
      </c>
      <c r="T89">
        <v>775</v>
      </c>
      <c r="U89">
        <v>2</v>
      </c>
      <c r="V89" t="str">
        <v>deciduous</v>
      </c>
      <c r="W89" t="str">
        <v>well (dry spells)</v>
      </c>
      <c r="X89" t="str">
        <v>clear skies</v>
      </c>
    </row>
    <row r="90" spans="1:24" x14ac:dyDescent="0.25">
      <c r="A90" t="str">
        <v>Broccoli</v>
      </c>
      <c r="B90" t="str">
        <v>Brassica oleracea var. italica</v>
      </c>
      <c r="C90" t="str">
        <v>biennial</v>
      </c>
      <c r="D90" t="str">
        <v>herb</v>
      </c>
      <c r="F90" t="str">
        <v>medium, organic</v>
      </c>
      <c r="G90">
        <v>1200</v>
      </c>
      <c r="H90">
        <v>1</v>
      </c>
      <c r="I90" t="str">
        <f>IF(ISNUMBER(SEARCH("evergreen",Sheet1!AN91)),
    "evergreen",
    IF(ISNUMBER(SEARCH("deciduous",Sheet1!AN91)),
        "deciduous",
        ""
    )
)</f>
        <v/>
      </c>
      <c r="J90" t="str">
        <v>well (dry spells)</v>
      </c>
      <c r="K90" t="str">
        <v>light shade</v>
      </c>
      <c r="N90" t="str">
        <v>Cherry</v>
      </c>
      <c r="O90" t="str">
        <v>Prunus avium</v>
      </c>
      <c r="P90" t="str">
        <v>perennial</v>
      </c>
      <c r="Q90" t="str">
        <v>tree</v>
      </c>
      <c r="R90">
        <v>0</v>
      </c>
      <c r="S90" t="str">
        <v>heavy, medium</v>
      </c>
      <c r="T90">
        <v>700</v>
      </c>
      <c r="U90">
        <v>10</v>
      </c>
      <c r="V90" t="str">
        <v>deciduous</v>
      </c>
      <c r="W90" t="str">
        <v>well (dry spells)</v>
      </c>
      <c r="X90" t="str">
        <v>clear skies</v>
      </c>
    </row>
    <row r="91" spans="1:24" x14ac:dyDescent="0.25">
      <c r="A91" t="str">
        <v>Pomegranate</v>
      </c>
      <c r="B91" t="str">
        <v>Punica granatum</v>
      </c>
      <c r="C91" t="str">
        <v>perennial</v>
      </c>
      <c r="D91" t="str">
        <v>shrub, tree</v>
      </c>
      <c r="F91" t="str">
        <v>heavy, medium</v>
      </c>
      <c r="G91">
        <v>1050</v>
      </c>
      <c r="H91">
        <v>7</v>
      </c>
      <c r="I91" t="str">
        <f>IF(ISNUMBER(SEARCH("evergreen",Sheet1!AN92)),
    "evergreen",
    IF(ISNUMBER(SEARCH("deciduous",Sheet1!AN92)),
        "deciduous",
        ""
    )
)</f>
        <v>evergreen</v>
      </c>
      <c r="J91" t="str">
        <v>well (dry spells)</v>
      </c>
      <c r="K91" t="str">
        <v>clear skies</v>
      </c>
      <c r="N91" t="str">
        <v>Pear</v>
      </c>
      <c r="O91" t="str">
        <v>Pyrus communis</v>
      </c>
      <c r="P91" t="str">
        <v>perennial</v>
      </c>
      <c r="Q91" t="str">
        <v>tree</v>
      </c>
      <c r="R91">
        <v>0</v>
      </c>
      <c r="S91" t="str">
        <v>heavy, medium</v>
      </c>
      <c r="T91">
        <v>750</v>
      </c>
      <c r="U91">
        <v>10</v>
      </c>
      <c r="V91" t="str">
        <v>deciduous</v>
      </c>
      <c r="W91" t="str">
        <v>well (dry spells)</v>
      </c>
      <c r="X91" t="str">
        <v>clear skies</v>
      </c>
    </row>
    <row r="92" spans="1:24" x14ac:dyDescent="0.25">
      <c r="A92" t="str">
        <v>Tomatillo</v>
      </c>
      <c r="B92" t="str">
        <v>Physalis philadelphica</v>
      </c>
      <c r="C92" t="str">
        <v>annual</v>
      </c>
      <c r="D92" t="str">
        <v>herb</v>
      </c>
      <c r="F92" t="str">
        <v>medium, light, organic</v>
      </c>
      <c r="G92">
        <v>850</v>
      </c>
      <c r="H92">
        <v>1.5</v>
      </c>
      <c r="I92" t="str">
        <f>IF(ISNUMBER(SEARCH("evergreen",Sheet1!AN93)),
    "evergreen",
    IF(ISNUMBER(SEARCH("deciduous",Sheet1!AN93)),
        "deciduous",
        ""
    )
)</f>
        <v/>
      </c>
      <c r="J92" t="str">
        <v>well (dry spells)</v>
      </c>
      <c r="K92" t="str">
        <v>cloudy skies</v>
      </c>
      <c r="N92" t="str">
        <v>Blueberry</v>
      </c>
      <c r="O92" t="str">
        <v>Vaccinium corymbosum</v>
      </c>
      <c r="P92" t="str">
        <v>perennial</v>
      </c>
      <c r="Q92" t="str">
        <v>shrub</v>
      </c>
      <c r="R92">
        <v>0</v>
      </c>
      <c r="S92" t="str">
        <v>medium, organic</v>
      </c>
      <c r="T92">
        <v>1000</v>
      </c>
      <c r="U92">
        <v>2.5</v>
      </c>
      <c r="V92" t="str">
        <v>deciduous</v>
      </c>
      <c r="W92" t="str">
        <v>well (dry spells)</v>
      </c>
      <c r="X92" t="str">
        <v>very bright</v>
      </c>
    </row>
    <row r="93" spans="1:24" x14ac:dyDescent="0.25">
      <c r="A93" t="str">
        <v>Lettuce (Cos)</v>
      </c>
      <c r="B93" t="str">
        <v>Lactuca sativa var. capitata</v>
      </c>
      <c r="C93" t="str">
        <v>annual, biennial</v>
      </c>
      <c r="D93" t="str">
        <v>herb</v>
      </c>
      <c r="F93" t="str">
        <v>medium, light</v>
      </c>
      <c r="G93">
        <v>1250</v>
      </c>
      <c r="H93">
        <v>0.4</v>
      </c>
      <c r="I93" t="str">
        <f>IF(ISNUMBER(SEARCH("evergreen",Sheet1!AN94)),
    "evergreen",
    IF(ISNUMBER(SEARCH("deciduous",Sheet1!AN94)),
        "deciduous",
        ""
    )
)</f>
        <v/>
      </c>
      <c r="J93" t="str">
        <v>well (dry spells)</v>
      </c>
      <c r="K93" t="str">
        <v>cloudy skies</v>
      </c>
    </row>
    <row r="94" spans="1:24" x14ac:dyDescent="0.25">
      <c r="A94" t="str">
        <v>Pear (Nashi)</v>
      </c>
      <c r="B94" t="str">
        <v>Pyrus communis</v>
      </c>
      <c r="C94" t="str">
        <v>perennial</v>
      </c>
      <c r="D94" t="str">
        <v>tree</v>
      </c>
      <c r="F94" t="str">
        <v>heavy, medium</v>
      </c>
      <c r="G94">
        <v>750</v>
      </c>
      <c r="H94">
        <v>8</v>
      </c>
      <c r="I94" t="str">
        <f>IF(ISNUMBER(SEARCH("evergreen",Sheet1!AN95)),
    "evergreen",
    IF(ISNUMBER(SEARCH("deciduous",Sheet1!AN95)),
        "deciduous",
        ""
    )
)</f>
        <v>deciduous</v>
      </c>
      <c r="J94" t="str">
        <v>well (dry spells)</v>
      </c>
      <c r="K94" t="str">
        <v>clear skies</v>
      </c>
    </row>
    <row r="95" spans="1:24" x14ac:dyDescent="0.25">
      <c r="A95" t="str">
        <v>Naranjilla</v>
      </c>
      <c r="B95" t="str">
        <v>Solanum quitoense</v>
      </c>
      <c r="C95" t="str">
        <v>perennial</v>
      </c>
      <c r="D95" t="str">
        <v>sub-shrub</v>
      </c>
      <c r="F95" t="str">
        <v>heavy, medium, light, organic</v>
      </c>
      <c r="G95">
        <v>2250</v>
      </c>
      <c r="H95">
        <v>3</v>
      </c>
      <c r="I95" t="str">
        <f>IF(ISNUMBER(SEARCH("evergreen",Sheet1!AN96)),
    "evergreen",
    IF(ISNUMBER(SEARCH("deciduous",Sheet1!AN96)),
        "deciduous",
        ""
    )
)</f>
        <v/>
      </c>
      <c r="J95" t="str">
        <v>well (dry spells)</v>
      </c>
      <c r="K95" t="str">
        <v>light shade</v>
      </c>
    </row>
    <row r="96" spans="1:24" x14ac:dyDescent="0.25">
      <c r="A96" t="str">
        <v>Tomato</v>
      </c>
      <c r="B96" t="str">
        <v>Lycopersicon esculentum</v>
      </c>
      <c r="C96" t="str">
        <v>annual</v>
      </c>
      <c r="D96" t="str">
        <v>herb</v>
      </c>
      <c r="F96" t="str">
        <v>medium, organic</v>
      </c>
      <c r="G96">
        <v>950</v>
      </c>
      <c r="H96">
        <v>2.5</v>
      </c>
      <c r="I96" t="str">
        <f>IF(ISNUMBER(SEARCH("evergreen",Sheet1!AN97)),
    "evergreen",
    IF(ISNUMBER(SEARCH("deciduous",Sheet1!AN97)),
        "deciduous",
        ""
    )
)</f>
        <v/>
      </c>
      <c r="J96" t="str">
        <v>well (dry spells)</v>
      </c>
      <c r="K96" t="str">
        <v>cloudy skies</v>
      </c>
    </row>
    <row r="97" spans="1:11" x14ac:dyDescent="0.25">
      <c r="A97" t="str">
        <v>Chicory / Endive</v>
      </c>
      <c r="B97" t="str">
        <v>Cichorium endivia</v>
      </c>
      <c r="C97" t="str">
        <v>annual, biennial</v>
      </c>
      <c r="D97" t="str">
        <v>herb</v>
      </c>
      <c r="F97" t="str">
        <v>medium, organic</v>
      </c>
      <c r="G97">
        <v>1200</v>
      </c>
      <c r="H97">
        <v>0.7</v>
      </c>
      <c r="I97" t="str">
        <f>IF(ISNUMBER(SEARCH("evergreen",Sheet1!AN98)),
    "evergreen",
    IF(ISNUMBER(SEARCH("deciduous",Sheet1!AN98)),
        "deciduous",
        ""
    )
)</f>
        <v/>
      </c>
      <c r="J97" t="str">
        <v>well (dry spells)</v>
      </c>
      <c r="K97" t="str">
        <v>cloudy skies</v>
      </c>
    </row>
    <row r="98" spans="1:11" x14ac:dyDescent="0.25">
      <c r="A98" t="str">
        <v>Lychee</v>
      </c>
      <c r="B98" t="str">
        <v>Litchi chinensis</v>
      </c>
      <c r="C98" t="str">
        <v>perennial</v>
      </c>
      <c r="D98" t="str">
        <v>tree</v>
      </c>
      <c r="F98" t="str">
        <v>medium, organic</v>
      </c>
      <c r="G98">
        <v>1350</v>
      </c>
      <c r="H98">
        <v>20</v>
      </c>
      <c r="I98" t="str">
        <f>IF(ISNUMBER(SEARCH("evergreen",Sheet1!AN99)),
    "evergreen",
    IF(ISNUMBER(SEARCH("deciduous",Sheet1!AN99)),
        "deciduous",
        ""
    )
)</f>
        <v>evergreen</v>
      </c>
      <c r="J98" t="str">
        <v>well (dry spells)</v>
      </c>
      <c r="K98" t="str">
        <v>cloudy skies</v>
      </c>
    </row>
    <row r="99" spans="1:11" x14ac:dyDescent="0.25">
      <c r="A99" t="str">
        <v>Banana</v>
      </c>
      <c r="B99" t="str">
        <v>Musa sapientum</v>
      </c>
      <c r="C99" t="str">
        <v>perennial</v>
      </c>
      <c r="D99" t="str">
        <v>herb</v>
      </c>
      <c r="F99">
        <v>0</v>
      </c>
      <c r="G99">
        <v>0</v>
      </c>
      <c r="H99">
        <v>9</v>
      </c>
      <c r="I99" t="str">
        <f>IF(ISNUMBER(SEARCH("evergreen",Sheet1!AN100)),
    "evergreen",
    IF(ISNUMBER(SEARCH("deciduous",Sheet1!AN100)),
        "deciduous",
        ""
    )
)</f>
        <v/>
      </c>
      <c r="J99">
        <v>0</v>
      </c>
      <c r="K99">
        <v>0</v>
      </c>
    </row>
    <row r="100" spans="1:11" x14ac:dyDescent="0.25">
      <c r="A100" t="str">
        <v>Artichoke (Globe)</v>
      </c>
      <c r="B100" t="str">
        <v>Cynara scolymus</v>
      </c>
      <c r="C100" t="str">
        <v>perennial</v>
      </c>
      <c r="D100" t="str">
        <v>herb</v>
      </c>
      <c r="F100" t="str">
        <v>medium, light</v>
      </c>
      <c r="G100">
        <v>1050</v>
      </c>
      <c r="H100">
        <v>2</v>
      </c>
      <c r="I100" t="str">
        <f>IF(ISNUMBER(SEARCH("evergreen",Sheet1!AN101)),
    "evergreen",
    IF(ISNUMBER(SEARCH("deciduous",Sheet1!AN101)),
        "deciduous",
        ""
    )
)</f>
        <v/>
      </c>
      <c r="J100" t="str">
        <v>well (dry spells)</v>
      </c>
      <c r="K100" t="str">
        <v>cloudy skies</v>
      </c>
    </row>
    <row r="101" spans="1:11" x14ac:dyDescent="0.25">
      <c r="A101" t="str">
        <v>Turnip</v>
      </c>
      <c r="B101">
        <v>0</v>
      </c>
      <c r="C101">
        <v>0</v>
      </c>
      <c r="D101">
        <v>0</v>
      </c>
      <c r="F101">
        <v>0</v>
      </c>
      <c r="G101">
        <v>0</v>
      </c>
      <c r="H101">
        <v>0.6</v>
      </c>
      <c r="I101" t="str">
        <f>IF(ISNUMBER(SEARCH("evergreen",Sheet1!AN102)),
    "evergreen",
    IF(ISNUMBER(SEARCH("deciduous",Sheet1!AN102)),
        "deciduous",
        ""
    )
)</f>
        <v/>
      </c>
      <c r="J101">
        <v>0</v>
      </c>
      <c r="K101">
        <v>0</v>
      </c>
    </row>
    <row r="102" spans="1:11" x14ac:dyDescent="0.25">
      <c r="A102" t="str">
        <v>Fig</v>
      </c>
      <c r="B102" t="str">
        <v>Ficus carica</v>
      </c>
      <c r="C102" t="str">
        <v>perennial</v>
      </c>
      <c r="D102" t="str">
        <v>shrub, tree</v>
      </c>
      <c r="F102" t="str">
        <v>medium</v>
      </c>
      <c r="G102">
        <v>1100</v>
      </c>
      <c r="H102">
        <v>10</v>
      </c>
      <c r="I102" t="str">
        <f>IF(ISNUMBER(SEARCH("evergreen",Sheet1!AN103)),
    "evergreen",
    IF(ISNUMBER(SEARCH("deciduous",Sheet1!AN103)),
        "deciduous",
        ""
    )
)</f>
        <v>deciduous</v>
      </c>
      <c r="J102" t="str">
        <v>well (dry spells)</v>
      </c>
      <c r="K102" t="str">
        <v>light shade</v>
      </c>
    </row>
    <row r="103" spans="1:11" x14ac:dyDescent="0.25">
      <c r="A103" t="str">
        <v>Choko (Chayote)</v>
      </c>
      <c r="B103" t="str">
        <v>Sechium edule</v>
      </c>
      <c r="C103" t="str">
        <v>annual, perennial</v>
      </c>
      <c r="D103" t="str">
        <v>vine</v>
      </c>
      <c r="F103" t="str">
        <v>medium, organic</v>
      </c>
      <c r="G103">
        <v>1400</v>
      </c>
      <c r="H103">
        <v>6</v>
      </c>
      <c r="I103" t="str">
        <f>IF(ISNUMBER(SEARCH("evergreen",Sheet1!AN104)),
    "evergreen",
    IF(ISNUMBER(SEARCH("deciduous",Sheet1!AN104)),
        "deciduous",
        ""
    )
)</f>
        <v/>
      </c>
      <c r="J103" t="str">
        <v>well (dry spells)</v>
      </c>
      <c r="K103" t="str">
        <v>light shade</v>
      </c>
    </row>
    <row r="104" spans="1:11" x14ac:dyDescent="0.25">
      <c r="A104" t="str">
        <v>Kiwifruit (Gold)</v>
      </c>
      <c r="B104" t="str">
        <v>Actinidia chinensis</v>
      </c>
      <c r="C104" t="str">
        <v>perennial</v>
      </c>
      <c r="D104" t="str">
        <v>vine, shrub</v>
      </c>
      <c r="F104" t="str">
        <v>light, organic</v>
      </c>
      <c r="G104">
        <v>1100</v>
      </c>
      <c r="H104">
        <v>0.5</v>
      </c>
      <c r="I104" t="str">
        <f>IF(ISNUMBER(SEARCH("evergreen",Sheet1!AN105)),
    "evergreen",
    IF(ISNUMBER(SEARCH("deciduous",Sheet1!AN105)),
        "deciduous",
        ""
    )
)</f>
        <v>deciduous</v>
      </c>
      <c r="J104" t="str">
        <v>well (dry spells)</v>
      </c>
      <c r="K104" t="str">
        <v>clear skies</v>
      </c>
    </row>
    <row r="105" spans="1:11" x14ac:dyDescent="0.25">
      <c r="A105" t="str">
        <v>Feijoa</v>
      </c>
      <c r="B105" t="str">
        <v>Feijoa sellowiana</v>
      </c>
      <c r="C105" t="str">
        <v>perennial</v>
      </c>
      <c r="D105" t="str">
        <v>shrub, tree</v>
      </c>
      <c r="F105" t="str">
        <v>medium, light</v>
      </c>
      <c r="G105">
        <v>1050</v>
      </c>
      <c r="H105">
        <v>5</v>
      </c>
      <c r="I105" t="str">
        <f>IF(ISNUMBER(SEARCH("evergreen",Sheet1!AN106)),
    "evergreen",
    IF(ISNUMBER(SEARCH("deciduous",Sheet1!AN106)),
        "deciduous",
        ""
    )
)</f>
        <v>evergreen</v>
      </c>
      <c r="J105" t="str">
        <v>well (dry spells)</v>
      </c>
      <c r="K105" t="str">
        <v>light shade</v>
      </c>
    </row>
    <row r="106" spans="1:11" x14ac:dyDescent="0.25">
      <c r="A106" t="str">
        <v>Bitter Gourd</v>
      </c>
      <c r="B106" t="str">
        <v>Momordica charantia</v>
      </c>
      <c r="C106" t="str">
        <v>annual</v>
      </c>
      <c r="D106" t="str">
        <v>herb, vine</v>
      </c>
      <c r="F106" t="str">
        <v>medium, organic</v>
      </c>
      <c r="G106">
        <v>2250</v>
      </c>
      <c r="H106">
        <v>0.5</v>
      </c>
      <c r="I106" t="str">
        <f>IF(ISNUMBER(SEARCH("evergreen",Sheet1!AN107)),
    "evergreen",
    IF(ISNUMBER(SEARCH("deciduous",Sheet1!AN107)),
        "deciduous",
        ""
    )
)</f>
        <v/>
      </c>
      <c r="J106" t="str">
        <v>well (dry spells)</v>
      </c>
      <c r="K106" t="str">
        <v>cloudy skies</v>
      </c>
    </row>
    <row r="107" spans="1:11" x14ac:dyDescent="0.25">
      <c r="A107" t="str">
        <v>Bitter Gourd</v>
      </c>
      <c r="B107" t="str">
        <v>Momordica charantia</v>
      </c>
      <c r="C107" t="str">
        <v>annual</v>
      </c>
      <c r="D107" t="str">
        <v>herb, vine</v>
      </c>
      <c r="F107" t="str">
        <v>medium, organic</v>
      </c>
      <c r="G107">
        <v>2250</v>
      </c>
      <c r="H107">
        <v>0.5</v>
      </c>
      <c r="I107" t="str">
        <f>IF(ISNUMBER(SEARCH("evergreen",Sheet1!AN108)),
    "evergreen",
    IF(ISNUMBER(SEARCH("deciduous",Sheet1!AN108)),
        "deciduous",
        ""
    )
)</f>
        <v/>
      </c>
      <c r="J107" t="str">
        <v>well (dry spells)</v>
      </c>
      <c r="K107" t="str">
        <v>cloudy skies</v>
      </c>
    </row>
    <row r="108" spans="1:11" x14ac:dyDescent="0.25">
      <c r="A108" t="str">
        <v>Rosemary</v>
      </c>
      <c r="B108">
        <v>0</v>
      </c>
      <c r="C108">
        <v>0</v>
      </c>
      <c r="D108">
        <v>0</v>
      </c>
      <c r="F108">
        <v>0</v>
      </c>
      <c r="G108">
        <v>0</v>
      </c>
      <c r="H108">
        <v>1.8</v>
      </c>
      <c r="I108" t="str">
        <f>IF(ISNUMBER(SEARCH("evergreen",Sheet1!AN109)),
    "evergreen",
    IF(ISNUMBER(SEARCH("deciduous",Sheet1!AN109)),
        "deciduous",
        ""
    )
)</f>
        <v/>
      </c>
      <c r="J108">
        <v>0</v>
      </c>
      <c r="K108">
        <v>0</v>
      </c>
    </row>
    <row r="109" spans="1:11" x14ac:dyDescent="0.25">
      <c r="A109" t="str">
        <v>Tamarillo</v>
      </c>
      <c r="B109" t="str">
        <v>Cyphomandra betacea</v>
      </c>
      <c r="C109" t="str">
        <v>perennial</v>
      </c>
      <c r="D109" t="str">
        <v>herb, shrub, tree</v>
      </c>
      <c r="F109" t="str">
        <v>medium, light</v>
      </c>
      <c r="G109">
        <v>2300</v>
      </c>
      <c r="H109">
        <v>4</v>
      </c>
      <c r="I109" t="str">
        <f>IF(ISNUMBER(SEARCH("evergreen",Sheet1!AN110)),
    "evergreen",
    IF(ISNUMBER(SEARCH("deciduous",Sheet1!AN110)),
        "deciduous",
        ""
    )
)</f>
        <v/>
      </c>
      <c r="J109" t="str">
        <v>well (dry spells)</v>
      </c>
      <c r="K109" t="str">
        <v>cloudy skies</v>
      </c>
    </row>
    <row r="110" spans="1:11" x14ac:dyDescent="0.25">
      <c r="A110" t="str">
        <v>Dill</v>
      </c>
      <c r="B110">
        <v>0</v>
      </c>
      <c r="C110">
        <v>0</v>
      </c>
      <c r="D110">
        <v>0</v>
      </c>
      <c r="F110">
        <v>0</v>
      </c>
      <c r="G110">
        <v>0</v>
      </c>
      <c r="H110">
        <v>1.5</v>
      </c>
      <c r="I110" t="str">
        <f>IF(ISNUMBER(SEARCH("evergreen",Sheet1!AN111)),
    "evergreen",
    IF(ISNUMBER(SEARCH("deciduous",Sheet1!AN111)),
        "deciduous",
        ""
    )
)</f>
        <v/>
      </c>
      <c r="J110">
        <v>0</v>
      </c>
      <c r="K110">
        <v>0</v>
      </c>
    </row>
    <row r="111" spans="1:11" x14ac:dyDescent="0.25">
      <c r="A111" t="str">
        <v>Parsley</v>
      </c>
      <c r="B111" t="str">
        <v>Petroselinum crispum</v>
      </c>
      <c r="C111" t="str">
        <v>perennial</v>
      </c>
      <c r="D111" t="str">
        <v>herb</v>
      </c>
      <c r="F111" t="str">
        <v>medium, organic</v>
      </c>
      <c r="G111">
        <v>1200</v>
      </c>
      <c r="H111">
        <v>0.8</v>
      </c>
      <c r="I111" t="str">
        <f>IF(ISNUMBER(SEARCH("evergreen",Sheet1!AN112)),
    "evergreen",
    IF(ISNUMBER(SEARCH("deciduous",Sheet1!AN112)),
        "deciduous",
        ""
    )
)</f>
        <v/>
      </c>
      <c r="J111" t="str">
        <v>well (dry spells)</v>
      </c>
      <c r="K111" t="str">
        <v>light shade</v>
      </c>
    </row>
    <row r="112" spans="1:11" x14ac:dyDescent="0.25">
      <c r="A112" t="str">
        <v>Mint</v>
      </c>
      <c r="B112">
        <v>0</v>
      </c>
      <c r="C112">
        <v>0</v>
      </c>
      <c r="D112">
        <v>0</v>
      </c>
      <c r="F112">
        <v>0</v>
      </c>
      <c r="G112">
        <v>0</v>
      </c>
      <c r="H112">
        <v>1</v>
      </c>
      <c r="I112" t="str">
        <f>IF(ISNUMBER(SEARCH("evergreen",Sheet1!AN113)),
    "evergreen",
    IF(ISNUMBER(SEARCH("deciduous",Sheet1!AN113)),
        "deciduous",
        ""
    )
)</f>
        <v/>
      </c>
      <c r="J112">
        <v>0</v>
      </c>
      <c r="K112">
        <v>0</v>
      </c>
    </row>
    <row r="113" spans="1:11" x14ac:dyDescent="0.25">
      <c r="A113" t="str">
        <v>Parsley (Curly)</v>
      </c>
      <c r="B113" t="str">
        <v>Petroselinum crispum</v>
      </c>
      <c r="C113" t="str">
        <v>perennial</v>
      </c>
      <c r="D113" t="str">
        <v>herb</v>
      </c>
      <c r="F113" t="str">
        <v>medium, organic</v>
      </c>
      <c r="G113">
        <v>1200</v>
      </c>
      <c r="H113">
        <v>0.8</v>
      </c>
      <c r="I113" t="str">
        <f>IF(ISNUMBER(SEARCH("evergreen",Sheet1!AN114)),
    "evergreen",
    IF(ISNUMBER(SEARCH("deciduous",Sheet1!AN114)),
        "deciduous",
        ""
    )
)</f>
        <v/>
      </c>
      <c r="J113" t="str">
        <v>well (dry spells)</v>
      </c>
      <c r="K113" t="str">
        <v>light shade</v>
      </c>
    </row>
    <row r="114" spans="1:11" x14ac:dyDescent="0.25">
      <c r="A114" t="str">
        <v>Cranberry</v>
      </c>
      <c r="B114" t="str">
        <v>Vaccinium macrocarpon</v>
      </c>
      <c r="C114" t="str">
        <v>perennial</v>
      </c>
      <c r="D114" t="str">
        <v>vine, sub-shrub</v>
      </c>
      <c r="F114" t="str">
        <v>medium, light</v>
      </c>
      <c r="G114">
        <v>800</v>
      </c>
      <c r="H114">
        <v>0.3</v>
      </c>
      <c r="I114" t="str">
        <f>IF(ISNUMBER(SEARCH("evergreen",Sheet1!AN115)),
    "evergreen",
    IF(ISNUMBER(SEARCH("deciduous",Sheet1!AN115)),
        "deciduous",
        ""
    )
)</f>
        <v/>
      </c>
      <c r="J114" t="str">
        <v>well (dry spells)</v>
      </c>
      <c r="K114" t="str">
        <v>cloudy skies</v>
      </c>
    </row>
    <row r="115" spans="1:11" x14ac:dyDescent="0.25">
      <c r="A115" t="str">
        <v>Bilberry</v>
      </c>
      <c r="B115" t="str">
        <v>Vaccinium myrtillus</v>
      </c>
      <c r="C115" t="str">
        <v>perennial</v>
      </c>
      <c r="D115" t="str">
        <v>sub-shrub</v>
      </c>
      <c r="F115" t="str">
        <v>light, organic</v>
      </c>
      <c r="G115">
        <v>600</v>
      </c>
      <c r="H115">
        <v>0.5</v>
      </c>
      <c r="I115" t="str">
        <f>IF(ISNUMBER(SEARCH("evergreen",Sheet1!AN116)),
    "evergreen",
    IF(ISNUMBER(SEARCH("deciduous",Sheet1!AN116)),
        "deciduous",
        ""
    )
)</f>
        <v>deciduous</v>
      </c>
      <c r="J115">
        <v>0</v>
      </c>
      <c r="K115" t="str">
        <v>very bright</v>
      </c>
    </row>
    <row r="116" spans="1:11" x14ac:dyDescent="0.25">
      <c r="A116" t="str">
        <v>Watermelon</v>
      </c>
      <c r="B116" t="str">
        <v>Citrullus lanatus</v>
      </c>
      <c r="C116" t="str">
        <v>annual</v>
      </c>
      <c r="D116" t="str">
        <v>herb, vine</v>
      </c>
      <c r="F116" t="str">
        <v>medium</v>
      </c>
      <c r="G116">
        <v>600</v>
      </c>
      <c r="H116">
        <v>0.6</v>
      </c>
      <c r="I116" t="str">
        <f>IF(ISNUMBER(SEARCH("evergreen",Sheet1!AN117)),
    "evergreen",
    IF(ISNUMBER(SEARCH("deciduous",Sheet1!AN117)),
        "deciduous",
        ""
    )
)</f>
        <v/>
      </c>
      <c r="J116" t="str">
        <v>well (dry spells)</v>
      </c>
      <c r="K116" t="str">
        <v>very bright</v>
      </c>
    </row>
    <row r="117" spans="1:11" x14ac:dyDescent="0.25">
      <c r="A117" t="str">
        <v>Eggplant</v>
      </c>
      <c r="B117" t="str">
        <v>Solanum melongena</v>
      </c>
      <c r="C117" t="str">
        <v>annual</v>
      </c>
      <c r="D117" t="str">
        <v>herb</v>
      </c>
      <c r="F117" t="str">
        <v>medium, organic</v>
      </c>
      <c r="G117">
        <v>1400</v>
      </c>
      <c r="H117">
        <v>1.5</v>
      </c>
      <c r="I117" t="str">
        <f>IF(ISNUMBER(SEARCH("evergreen",Sheet1!AN118)),
    "evergreen",
    IF(ISNUMBER(SEARCH("deciduous",Sheet1!AN118)),
        "deciduous",
        ""
    )
)</f>
        <v/>
      </c>
      <c r="J117" t="str">
        <v>well (dry spells)</v>
      </c>
      <c r="K117" t="str">
        <v>cloudy skies</v>
      </c>
    </row>
    <row r="118" spans="1:11" x14ac:dyDescent="0.25">
      <c r="A118" t="str">
        <v>Silverbeet / Swiss Chard</v>
      </c>
      <c r="B118" t="str">
        <v>Beta vulgaris</v>
      </c>
      <c r="C118" t="str">
        <v>biennial</v>
      </c>
      <c r="D118" t="str">
        <v>herb</v>
      </c>
      <c r="F118" t="str">
        <v>heavy, medium</v>
      </c>
      <c r="G118">
        <v>700</v>
      </c>
      <c r="H118">
        <v>1</v>
      </c>
      <c r="I118" t="str">
        <f>IF(ISNUMBER(SEARCH("evergreen",Sheet1!AN119)),
    "evergreen",
    IF(ISNUMBER(SEARCH("deciduous",Sheet1!AN119)),
        "deciduous",
        ""
    )
)</f>
        <v/>
      </c>
      <c r="J118" t="str">
        <v>well (dry spells)</v>
      </c>
      <c r="K118" t="str">
        <v>light shade</v>
      </c>
    </row>
    <row r="119" spans="1:11" x14ac:dyDescent="0.25">
      <c r="A119" t="str">
        <v>Passionfruit</v>
      </c>
      <c r="B119" t="str">
        <v>Passiflora edulis</v>
      </c>
      <c r="C119" t="str">
        <v>perennial</v>
      </c>
      <c r="D119" t="str">
        <v>vine</v>
      </c>
      <c r="F119" t="str">
        <v>medium, organic</v>
      </c>
      <c r="G119">
        <v>1450</v>
      </c>
      <c r="H119">
        <v>5</v>
      </c>
      <c r="I119" t="str">
        <f>IF(ISNUMBER(SEARCH("evergreen",Sheet1!AN120)),
    "evergreen",
    IF(ISNUMBER(SEARCH("deciduous",Sheet1!AN120)),
        "deciduous",
        ""
    )
)</f>
        <v>evergreen</v>
      </c>
      <c r="J119" t="str">
        <v>well (dry spells)</v>
      </c>
      <c r="K119" t="str">
        <v>very bright</v>
      </c>
    </row>
    <row r="120" spans="1:11" x14ac:dyDescent="0.25">
      <c r="A120" t="str">
        <v>Chilli (Red)</v>
      </c>
      <c r="B120" t="str">
        <v>Capsicum frutescens</v>
      </c>
      <c r="C120" t="str">
        <v>perennial</v>
      </c>
      <c r="D120" t="str">
        <v>sub-shrub</v>
      </c>
      <c r="F120" t="str">
        <v>medium, organic</v>
      </c>
      <c r="G120">
        <v>1050</v>
      </c>
      <c r="H120">
        <v>1.5</v>
      </c>
      <c r="I120" t="str">
        <f>IF(ISNUMBER(SEARCH("evergreen",Sheet1!AN121)),
    "evergreen",
    IF(ISNUMBER(SEARCH("deciduous",Sheet1!AN121)),
        "deciduous",
        ""
    )
)</f>
        <v/>
      </c>
      <c r="J120" t="str">
        <v>well (dry spells)</v>
      </c>
      <c r="K120" t="str">
        <v>cloudy skies</v>
      </c>
    </row>
    <row r="121" spans="1:11" x14ac:dyDescent="0.25">
      <c r="A121" t="str">
        <v>Bok Choy</v>
      </c>
      <c r="B121" t="str">
        <v>Brassica rapa Pak Choi</v>
      </c>
      <c r="C121" t="str">
        <v>biennial</v>
      </c>
      <c r="D121" t="str">
        <v>herb</v>
      </c>
      <c r="F121" t="str">
        <v>medium, light</v>
      </c>
      <c r="G121">
        <v>1150</v>
      </c>
      <c r="H121">
        <v>0.5</v>
      </c>
      <c r="I121" t="str">
        <f>IF(ISNUMBER(SEARCH("evergreen",Sheet1!AN122)),
    "evergreen",
    IF(ISNUMBER(SEARCH("deciduous",Sheet1!AN122)),
        "deciduous",
        ""
    )
)</f>
        <v/>
      </c>
      <c r="J121" t="str">
        <v>well (dry spells)</v>
      </c>
      <c r="K121" t="str">
        <v>cloudy skies</v>
      </c>
    </row>
    <row r="122" spans="1:11" x14ac:dyDescent="0.25">
      <c r="A122" t="str">
        <v>Chestnut</v>
      </c>
      <c r="B122" t="str">
        <v>Castanea sativa</v>
      </c>
      <c r="C122" t="str">
        <v>perennial</v>
      </c>
      <c r="D122" t="str">
        <v>tree</v>
      </c>
      <c r="F122" t="str">
        <v>medium, light</v>
      </c>
      <c r="G122">
        <v>1100</v>
      </c>
      <c r="H122">
        <v>30</v>
      </c>
      <c r="I122" t="str">
        <f>IF(ISNUMBER(SEARCH("evergreen",Sheet1!AN123)),
    "evergreen",
    IF(ISNUMBER(SEARCH("deciduous",Sheet1!AN123)),
        "deciduous",
        ""
    )
)</f>
        <v>deciduous</v>
      </c>
      <c r="J122" t="str">
        <v>well (dry spells)</v>
      </c>
      <c r="K122" t="str">
        <v>cloudy skies</v>
      </c>
    </row>
    <row r="123" spans="1:11" x14ac:dyDescent="0.25">
      <c r="A123" t="str">
        <v>Jackfruit</v>
      </c>
      <c r="B123" t="str">
        <v>Artocarpus heterophyllus</v>
      </c>
      <c r="C123" t="str">
        <v>perennial</v>
      </c>
      <c r="D123" t="str">
        <v>tree</v>
      </c>
      <c r="F123" t="str">
        <v>medium</v>
      </c>
      <c r="G123">
        <v>2250</v>
      </c>
      <c r="H123">
        <v>25</v>
      </c>
      <c r="I123" t="str">
        <f>IF(ISNUMBER(SEARCH("evergreen",Sheet1!AN124)),
    "evergreen",
    IF(ISNUMBER(SEARCH("deciduous",Sheet1!AN124)),
        "deciduous",
        ""
    )
)</f>
        <v>evergreen</v>
      </c>
      <c r="J123" t="str">
        <v>well (dry spells)</v>
      </c>
      <c r="K123" t="str">
        <v>cloudy skies</v>
      </c>
    </row>
    <row r="124" spans="1:11" x14ac:dyDescent="0.25">
      <c r="A124" t="str">
        <v>Capsicum (Yellow)</v>
      </c>
      <c r="B124" t="str">
        <v>Capsicum annuum</v>
      </c>
      <c r="C124" t="str">
        <v>annual</v>
      </c>
      <c r="D124" t="str">
        <v>herb</v>
      </c>
      <c r="F124" t="str">
        <v>medium, organic</v>
      </c>
      <c r="G124">
        <v>925</v>
      </c>
      <c r="H124">
        <v>1.5</v>
      </c>
      <c r="I124" t="str">
        <f>IF(ISNUMBER(SEARCH("evergreen",Sheet1!AN125)),
    "evergreen",
    IF(ISNUMBER(SEARCH("deciduous",Sheet1!AN125)),
        "deciduous",
        ""
    )
)</f>
        <v/>
      </c>
      <c r="J124" t="str">
        <v>well (dry spells)</v>
      </c>
      <c r="K124" t="str">
        <v>cloudy skies</v>
      </c>
    </row>
    <row r="125" spans="1:11" x14ac:dyDescent="0.25">
      <c r="A125" t="str">
        <v>Durian</v>
      </c>
      <c r="B125" t="str">
        <v>Durio zibethinus</v>
      </c>
      <c r="C125" t="str">
        <v>perennial</v>
      </c>
      <c r="D125" t="str">
        <v>tree</v>
      </c>
      <c r="F125" t="str">
        <v>medium, light</v>
      </c>
      <c r="G125">
        <v>2000</v>
      </c>
      <c r="H125">
        <v>40</v>
      </c>
      <c r="I125" t="str">
        <f>IF(ISNUMBER(SEARCH("evergreen",Sheet1!AN126)),
    "evergreen",
    IF(ISNUMBER(SEARCH("deciduous",Sheet1!AN126)),
        "deciduous",
        ""
    )
)</f>
        <v>evergreen</v>
      </c>
      <c r="J125" t="str">
        <v>well (dry spells)</v>
      </c>
      <c r="K125" t="str">
        <v>light shade</v>
      </c>
    </row>
    <row r="126" spans="1:11" x14ac:dyDescent="0.25">
      <c r="A126" t="str">
        <v>Lentil (Red)</v>
      </c>
      <c r="B126" t="str">
        <v>Lens culinaris</v>
      </c>
      <c r="C126" t="str">
        <v>annual</v>
      </c>
      <c r="D126" t="str">
        <v>herb</v>
      </c>
      <c r="F126" t="str">
        <v>heavy, medium</v>
      </c>
      <c r="G126">
        <v>800</v>
      </c>
      <c r="H126">
        <v>0.8</v>
      </c>
      <c r="I126" t="str">
        <f>IF(ISNUMBER(SEARCH("evergreen",Sheet1!AN127)),
    "evergreen",
    IF(ISNUMBER(SEARCH("deciduous",Sheet1!AN127)),
        "deciduous",
        ""
    )
)</f>
        <v/>
      </c>
      <c r="J126" t="str">
        <v>well (dry spells)</v>
      </c>
      <c r="K126" t="str">
        <v>cloudy skies</v>
      </c>
    </row>
    <row r="127" spans="1:11" x14ac:dyDescent="0.25">
      <c r="A127" t="str">
        <v>Custard Apple</v>
      </c>
      <c r="B127" t="str">
        <v>Annona reticulata</v>
      </c>
      <c r="C127" t="str">
        <v>perennial</v>
      </c>
      <c r="D127" t="str">
        <v>tree</v>
      </c>
      <c r="F127" t="str">
        <v>medium</v>
      </c>
      <c r="G127">
        <v>1300</v>
      </c>
      <c r="H127">
        <v>8</v>
      </c>
      <c r="I127" t="str">
        <f>IF(ISNUMBER(SEARCH("evergreen",Sheet1!AN128)),
    "evergreen",
    IF(ISNUMBER(SEARCH("deciduous",Sheet1!AN128)),
        "deciduous",
        ""
    )
)</f>
        <v>deciduous</v>
      </c>
      <c r="J127" t="str">
        <v>well (dry spells)</v>
      </c>
      <c r="K127" t="str">
        <v>very bright</v>
      </c>
    </row>
    <row r="128" spans="1:11" x14ac:dyDescent="0.25">
      <c r="A128" t="str">
        <v>Kale</v>
      </c>
      <c r="B128" t="str">
        <v>Brassica oleracea var. acephala</v>
      </c>
      <c r="C128" t="str">
        <v>biennial, perennial</v>
      </c>
      <c r="D128" t="str">
        <v>herb</v>
      </c>
      <c r="F128" t="str">
        <v>heavy, medium, light, organic</v>
      </c>
      <c r="G128">
        <v>725</v>
      </c>
      <c r="H128">
        <v>1.2</v>
      </c>
      <c r="I128" t="str">
        <f>IF(ISNUMBER(SEARCH("evergreen",Sheet1!AN129)),
    "evergreen",
    IF(ISNUMBER(SEARCH("deciduous",Sheet1!AN129)),
        "deciduous",
        ""
    )
)</f>
        <v/>
      </c>
      <c r="J128" t="str">
        <v>well (dry spells)</v>
      </c>
      <c r="K128" t="str">
        <v>cloudy skies</v>
      </c>
    </row>
    <row r="129" spans="1:11" x14ac:dyDescent="0.25">
      <c r="A129" t="str">
        <v>Brussels Sprouts</v>
      </c>
      <c r="B129" t="str">
        <v>Brassica oleracea var. gemmifera</v>
      </c>
      <c r="C129" t="str">
        <v>annual, biennial</v>
      </c>
      <c r="D129" t="str">
        <v>herb</v>
      </c>
      <c r="F129" t="str">
        <v>medium, organic</v>
      </c>
      <c r="G129">
        <v>1250</v>
      </c>
      <c r="H129">
        <v>1.2</v>
      </c>
      <c r="I129" t="str">
        <f>IF(ISNUMBER(SEARCH("evergreen",Sheet1!AN130)),
    "evergreen",
    IF(ISNUMBER(SEARCH("deciduous",Sheet1!AN130)),
        "deciduous",
        ""
    )
)</f>
        <v/>
      </c>
      <c r="J129" t="str">
        <v>well (dry spells)</v>
      </c>
      <c r="K129" t="str">
        <v>cloudy skies</v>
      </c>
    </row>
    <row r="130" spans="1:11" x14ac:dyDescent="0.25">
      <c r="A130" t="str">
        <v>Cherimoya</v>
      </c>
      <c r="B130" t="str">
        <v>Annona cherimola</v>
      </c>
      <c r="C130" t="str">
        <v>perennial</v>
      </c>
      <c r="D130" t="str">
        <v>shrub, tree</v>
      </c>
      <c r="F130" t="str">
        <v>medium, light</v>
      </c>
      <c r="G130">
        <v>1000</v>
      </c>
      <c r="H130">
        <v>9</v>
      </c>
      <c r="I130" t="str">
        <f>IF(ISNUMBER(SEARCH("evergreen",Sheet1!AN131)),
    "evergreen",
    IF(ISNUMBER(SEARCH("deciduous",Sheet1!AN131)),
        "deciduous",
        ""
    )
)</f>
        <v>deciduous</v>
      </c>
      <c r="J130" t="str">
        <v>well (dry spells)</v>
      </c>
      <c r="K130" t="str">
        <v>light shade</v>
      </c>
    </row>
    <row r="131" spans="1:11" x14ac:dyDescent="0.25">
      <c r="A131" t="str">
        <v>Taro</v>
      </c>
      <c r="B131" t="str">
        <v>Colocasia esculenta</v>
      </c>
      <c r="C131" t="str">
        <v>perennial</v>
      </c>
      <c r="D131" t="str">
        <v>herb</v>
      </c>
      <c r="F131" t="str">
        <v>medium, organic</v>
      </c>
      <c r="G131">
        <v>2250</v>
      </c>
      <c r="H131">
        <v>2</v>
      </c>
      <c r="I131" t="str">
        <f>IF(ISNUMBER(SEARCH("evergreen",Sheet1!AN132)),
    "evergreen",
    IF(ISNUMBER(SEARCH("deciduous",Sheet1!AN132)),
        "deciduous",
        ""
    )
)</f>
        <v/>
      </c>
      <c r="J131" t="str">
        <v>poorly (saturated &gt;50% of year), well (dry spells)</v>
      </c>
      <c r="K131" t="str">
        <v>light shade</v>
      </c>
    </row>
    <row r="132" spans="1:11" x14ac:dyDescent="0.25">
      <c r="A132" t="str">
        <v>Buckwheat</v>
      </c>
      <c r="B132" t="str">
        <v>Fagopyrum esculentum</v>
      </c>
      <c r="C132" t="str">
        <v>annual</v>
      </c>
      <c r="D132" t="str">
        <v>herb</v>
      </c>
      <c r="F132" t="str">
        <v>medium, light</v>
      </c>
      <c r="G132">
        <v>850</v>
      </c>
      <c r="H132">
        <v>1.2</v>
      </c>
      <c r="I132" t="str">
        <f>IF(ISNUMBER(SEARCH("evergreen",Sheet1!AN133)),
    "evergreen",
    IF(ISNUMBER(SEARCH("deciduous",Sheet1!AN133)),
        "deciduous",
        ""
    )
)</f>
        <v/>
      </c>
      <c r="J132" t="str">
        <v>well (dry spells)</v>
      </c>
      <c r="K132" t="str">
        <v>cloudy skies</v>
      </c>
    </row>
    <row r="133" spans="1:11" x14ac:dyDescent="0.25">
      <c r="A133" t="str">
        <v>Leek</v>
      </c>
      <c r="B133" t="str">
        <v>Allium ampeloprasum</v>
      </c>
      <c r="C133" t="str">
        <v>annual, biennial</v>
      </c>
      <c r="D133" t="str">
        <v>herb</v>
      </c>
      <c r="F133" t="str">
        <v>medium, organic</v>
      </c>
      <c r="G133">
        <v>875</v>
      </c>
      <c r="H133">
        <v>1</v>
      </c>
      <c r="I133" t="str">
        <f>IF(ISNUMBER(SEARCH("evergreen",Sheet1!AN134)),
    "evergreen",
    IF(ISNUMBER(SEARCH("deciduous",Sheet1!AN134)),
        "deciduous",
        ""
    )
)</f>
        <v/>
      </c>
      <c r="J133" t="str">
        <v>well (dry spells)</v>
      </c>
      <c r="K133" t="str">
        <v>cloudy skies</v>
      </c>
    </row>
    <row r="134" spans="1:11" x14ac:dyDescent="0.25">
      <c r="A134" t="str">
        <v>Sweet Potato (White)</v>
      </c>
      <c r="B134">
        <v>0</v>
      </c>
      <c r="C134">
        <v>0</v>
      </c>
      <c r="D134">
        <v>0</v>
      </c>
      <c r="F134">
        <v>0</v>
      </c>
      <c r="G134">
        <v>0</v>
      </c>
      <c r="H134">
        <v>0.5</v>
      </c>
      <c r="I134" t="str">
        <f>IF(ISNUMBER(SEARCH("evergreen",Sheet1!AN135)),
    "evergreen",
    IF(ISNUMBER(SEARCH("deciduous",Sheet1!AN135)),
        "deciduous",
        ""
    )
)</f>
        <v/>
      </c>
      <c r="J134">
        <v>0</v>
      </c>
      <c r="K134">
        <v>0</v>
      </c>
    </row>
    <row r="135" spans="1:11" x14ac:dyDescent="0.25">
      <c r="A135" t="str">
        <v>Sweet Potato (Purple)</v>
      </c>
      <c r="B135">
        <v>0</v>
      </c>
      <c r="C135">
        <v>0</v>
      </c>
      <c r="D135">
        <v>0</v>
      </c>
      <c r="F135">
        <v>0</v>
      </c>
      <c r="G135">
        <v>0</v>
      </c>
      <c r="H135">
        <v>0.5</v>
      </c>
      <c r="I135" t="str">
        <f>IF(ISNUMBER(SEARCH("evergreen",Sheet1!AN136)),
    "evergreen",
    IF(ISNUMBER(SEARCH("deciduous",Sheet1!AN136)),
        "deciduous",
        ""
    )
)</f>
        <v/>
      </c>
      <c r="J135">
        <v>0</v>
      </c>
      <c r="K135">
        <v>0</v>
      </c>
    </row>
    <row r="136" spans="1:11" x14ac:dyDescent="0.25">
      <c r="A136" t="str">
        <v>Sweet Potato (Orange)</v>
      </c>
      <c r="B136">
        <v>0</v>
      </c>
      <c r="C136">
        <v>0</v>
      </c>
      <c r="D136">
        <v>0</v>
      </c>
      <c r="F136">
        <v>0</v>
      </c>
      <c r="G136">
        <v>0</v>
      </c>
      <c r="H136">
        <v>0.5</v>
      </c>
      <c r="I136" t="str">
        <f>IF(ISNUMBER(SEARCH("evergreen",Sheet1!AN137)),
    "evergreen",
    IF(ISNUMBER(SEARCH("deciduous",Sheet1!AN137)),
        "deciduous",
        ""
    )
)</f>
        <v/>
      </c>
      <c r="J136">
        <v>0</v>
      </c>
      <c r="K136">
        <v>0</v>
      </c>
    </row>
    <row r="137" spans="1:11" x14ac:dyDescent="0.25">
      <c r="A137" t="str">
        <v>Cauliflower</v>
      </c>
      <c r="B137" t="str">
        <v>Brassica oleracea var. botrytis</v>
      </c>
      <c r="C137" t="str">
        <v>biennial</v>
      </c>
      <c r="D137" t="str">
        <v>herb</v>
      </c>
      <c r="F137" t="str">
        <v>medium</v>
      </c>
      <c r="G137">
        <v>850</v>
      </c>
      <c r="H137">
        <v>0.9</v>
      </c>
      <c r="I137" t="str">
        <f>IF(ISNUMBER(SEARCH("evergreen",Sheet1!AN138)),
    "evergreen",
    IF(ISNUMBER(SEARCH("deciduous",Sheet1!AN138)),
        "deciduous",
        ""
    )
)</f>
        <v/>
      </c>
      <c r="J137" t="str">
        <v>well (dry spells)</v>
      </c>
      <c r="K137" t="str">
        <v>light shade</v>
      </c>
    </row>
    <row r="138" spans="1:11" x14ac:dyDescent="0.25">
      <c r="A138" t="str">
        <v>Spinach (Mature)</v>
      </c>
      <c r="B138" t="str">
        <v>Spinacia oleracea</v>
      </c>
      <c r="C138" t="str">
        <v>annual</v>
      </c>
      <c r="D138" t="str">
        <v>herb</v>
      </c>
      <c r="F138" t="str">
        <v>medium, light</v>
      </c>
      <c r="G138">
        <v>1000</v>
      </c>
      <c r="H138">
        <v>0.4</v>
      </c>
      <c r="I138" t="str">
        <f>IF(ISNUMBER(SEARCH("evergreen",Sheet1!AN139)),
    "evergreen",
    IF(ISNUMBER(SEARCH("deciduous",Sheet1!AN139)),
        "deciduous",
        ""
    )
)</f>
        <v/>
      </c>
      <c r="J138" t="str">
        <v>well (dry spells)</v>
      </c>
      <c r="K138" t="str">
        <v>cloudy skies</v>
      </c>
    </row>
    <row r="139" spans="1:11" x14ac:dyDescent="0.25">
      <c r="A139" t="str">
        <v>Spinach (Baby)</v>
      </c>
      <c r="B139" t="str">
        <v>Spinacia oleracea</v>
      </c>
      <c r="C139" t="str">
        <v>annual</v>
      </c>
      <c r="D139" t="str">
        <v>herb</v>
      </c>
      <c r="F139" t="str">
        <v>medium, light</v>
      </c>
      <c r="G139">
        <v>1000</v>
      </c>
      <c r="H139">
        <v>0.4</v>
      </c>
      <c r="I139" t="str">
        <f>IF(ISNUMBER(SEARCH("evergreen",Sheet1!AN140)),
    "evergreen",
    IF(ISNUMBER(SEARCH("deciduous",Sheet1!AN140)),
        "deciduous",
        ""
    )
)</f>
        <v/>
      </c>
      <c r="J139" t="str">
        <v>well (dry spells)</v>
      </c>
      <c r="K139" t="str">
        <v>cloudy skies</v>
      </c>
    </row>
    <row r="140" spans="1:11" x14ac:dyDescent="0.25">
      <c r="A140" t="str">
        <v>Bean (Butter)</v>
      </c>
      <c r="B140">
        <v>0</v>
      </c>
      <c r="C140">
        <v>0</v>
      </c>
      <c r="D140">
        <v>0</v>
      </c>
      <c r="F140">
        <v>0</v>
      </c>
      <c r="G140">
        <v>0</v>
      </c>
      <c r="H140">
        <v>0.6</v>
      </c>
      <c r="I140" t="str">
        <f>IF(ISNUMBER(SEARCH("evergreen",Sheet1!AN141)),
    "evergreen",
    IF(ISNUMBER(SEARCH("deciduous",Sheet1!AN141)),
        "deciduous",
        ""
    )
)</f>
        <v/>
      </c>
      <c r="J140">
        <v>0</v>
      </c>
      <c r="K140">
        <v>0</v>
      </c>
    </row>
    <row r="141" spans="1:11" x14ac:dyDescent="0.25">
      <c r="A141" t="str">
        <v>Potato</v>
      </c>
      <c r="B141" t="str">
        <v>Solanum tuberosum</v>
      </c>
      <c r="C141" t="str">
        <v>annual</v>
      </c>
      <c r="D141" t="str">
        <v>herb</v>
      </c>
      <c r="F141" t="str">
        <v>medium, organic</v>
      </c>
      <c r="G141">
        <v>650</v>
      </c>
      <c r="H141">
        <v>1</v>
      </c>
      <c r="I141" t="str">
        <f>IF(ISNUMBER(SEARCH("evergreen",Sheet1!AN142)),
    "evergreen",
    IF(ISNUMBER(SEARCH("deciduous",Sheet1!AN142)),
        "deciduous",
        ""
    )
)</f>
        <v/>
      </c>
      <c r="J141" t="str">
        <v>well (dry spells)</v>
      </c>
      <c r="K141" t="str">
        <v>cloudy skies</v>
      </c>
    </row>
    <row r="142" spans="1:11" x14ac:dyDescent="0.25">
      <c r="A142" t="str">
        <v>Swede (Rutabaga)</v>
      </c>
      <c r="B142" t="str">
        <v>Brassica napus var. napobrassica</v>
      </c>
      <c r="C142" t="str">
        <v>annual, biennial</v>
      </c>
      <c r="D142" t="str">
        <v>herb</v>
      </c>
      <c r="F142" t="str">
        <v>medium, light</v>
      </c>
      <c r="G142">
        <v>850</v>
      </c>
      <c r="H142">
        <v>0.6</v>
      </c>
      <c r="I142" t="str">
        <f>IF(ISNUMBER(SEARCH("evergreen",Sheet1!AN143)),
    "evergreen",
    IF(ISNUMBER(SEARCH("deciduous",Sheet1!AN143)),
        "deciduous",
        ""
    )
)</f>
        <v/>
      </c>
      <c r="J142" t="str">
        <v>well (dry spells)</v>
      </c>
      <c r="K142" t="str">
        <v>light shade</v>
      </c>
    </row>
    <row r="143" spans="1:11" x14ac:dyDescent="0.25">
      <c r="A143" t="str">
        <v>Raspberry</v>
      </c>
      <c r="B143" t="str">
        <v>Rubus idaeus ssp. idaeus</v>
      </c>
      <c r="C143" t="str">
        <v>perennial</v>
      </c>
      <c r="D143" t="str">
        <v>sub-shrub</v>
      </c>
      <c r="F143" t="str">
        <v>medium, organic</v>
      </c>
      <c r="G143">
        <v>1000</v>
      </c>
      <c r="H143">
        <v>2</v>
      </c>
      <c r="I143" t="str">
        <f>IF(ISNUMBER(SEARCH("evergreen",Sheet1!AN144)),
    "evergreen",
    IF(ISNUMBER(SEARCH("deciduous",Sheet1!AN144)),
        "deciduous",
        ""
    )
)</f>
        <v>deciduous</v>
      </c>
      <c r="J143" t="str">
        <v>well (dry spells)</v>
      </c>
      <c r="K143" t="str">
        <v>cloudy skies</v>
      </c>
    </row>
    <row r="144" spans="1:11" x14ac:dyDescent="0.25">
      <c r="A144" t="str">
        <v>Avocado</v>
      </c>
      <c r="B144" t="str">
        <v>Persea americana</v>
      </c>
      <c r="C144" t="str">
        <v>perennial</v>
      </c>
      <c r="D144" t="str">
        <v>tree</v>
      </c>
      <c r="F144" t="str">
        <v>medium</v>
      </c>
      <c r="G144">
        <v>1250</v>
      </c>
      <c r="H144">
        <v>20</v>
      </c>
      <c r="I144" t="str">
        <f>IF(ISNUMBER(SEARCH("evergreen",Sheet1!AN145)),
    "evergreen",
    IF(ISNUMBER(SEARCH("deciduous",Sheet1!AN145)),
        "deciduous",
        ""
    )
)</f>
        <v>evergreen</v>
      </c>
      <c r="J144" t="str">
        <v>well (dry spells)</v>
      </c>
      <c r="K144" t="str">
        <v>very bright</v>
      </c>
    </row>
    <row r="145" spans="1:11" x14ac:dyDescent="0.25">
      <c r="A145" t="str">
        <v>Parsnip</v>
      </c>
      <c r="B145" t="str">
        <v>Pastinaca sativa</v>
      </c>
      <c r="C145" t="str">
        <v>annual, biennial</v>
      </c>
      <c r="D145" t="str">
        <v>herb</v>
      </c>
      <c r="F145" t="str">
        <v>medium</v>
      </c>
      <c r="G145">
        <v>650</v>
      </c>
      <c r="H145">
        <v>0.9</v>
      </c>
      <c r="I145" t="str">
        <f>IF(ISNUMBER(SEARCH("evergreen",Sheet1!AN146)),
    "evergreen",
    IF(ISNUMBER(SEARCH("deciduous",Sheet1!AN146)),
        "deciduous",
        ""
    )
)</f>
        <v/>
      </c>
      <c r="J145" t="str">
        <v>well (dry spells)</v>
      </c>
      <c r="K145" t="str">
        <v>cloudy skies</v>
      </c>
    </row>
    <row r="146" spans="1:11" x14ac:dyDescent="0.25">
      <c r="A146" t="str">
        <v>Asparagus</v>
      </c>
      <c r="B146" t="str">
        <v>Asparagus officinalis</v>
      </c>
      <c r="C146" t="str">
        <v>perennial</v>
      </c>
      <c r="D146" t="str">
        <v>herb</v>
      </c>
      <c r="F146" t="str">
        <v>medium, organic</v>
      </c>
      <c r="G146">
        <v>1000</v>
      </c>
      <c r="H146">
        <v>1.8</v>
      </c>
      <c r="I146" t="str">
        <f>IF(ISNUMBER(SEARCH("evergreen",Sheet1!AN147)),
    "evergreen",
    IF(ISNUMBER(SEARCH("deciduous",Sheet1!AN147)),
        "deciduous",
        ""
    )
)</f>
        <v/>
      </c>
      <c r="J146" t="str">
        <v>well (dry spells)</v>
      </c>
      <c r="K146" t="str">
        <v>cloudy skies</v>
      </c>
    </row>
    <row r="147" spans="1:11" x14ac:dyDescent="0.25">
      <c r="A147" t="str">
        <v>Cabbage (Chinese)</v>
      </c>
      <c r="B147" t="str">
        <v>Brassica rapa Pak Choi</v>
      </c>
      <c r="C147" t="str">
        <v>biennial</v>
      </c>
      <c r="D147" t="str">
        <v>herb</v>
      </c>
      <c r="F147" t="str">
        <v>medium, light</v>
      </c>
      <c r="G147">
        <v>1150</v>
      </c>
      <c r="H147">
        <v>0.6</v>
      </c>
      <c r="I147" t="str">
        <f>IF(ISNUMBER(SEARCH("evergreen",Sheet1!AN148)),
    "evergreen",
    IF(ISNUMBER(SEARCH("deciduous",Sheet1!AN148)),
        "deciduous",
        ""
    )
)</f>
        <v/>
      </c>
      <c r="J147" t="str">
        <v>well (dry spells)</v>
      </c>
      <c r="K147" t="str">
        <v>cloudy skies</v>
      </c>
    </row>
    <row r="148" spans="1:11" x14ac:dyDescent="0.25">
      <c r="A148" t="str">
        <v>Cabbage (White)</v>
      </c>
      <c r="B148" t="str">
        <v>Brassica oleracea var. capitata</v>
      </c>
      <c r="C148" t="str">
        <v>biennial</v>
      </c>
      <c r="D148" t="str">
        <v>herb</v>
      </c>
      <c r="F148" t="str">
        <v>medium, organic</v>
      </c>
      <c r="G148">
        <v>750</v>
      </c>
      <c r="H148">
        <v>0.7</v>
      </c>
      <c r="I148" t="str">
        <f>IF(ISNUMBER(SEARCH("evergreen",Sheet1!AN149)),
    "evergreen",
    IF(ISNUMBER(SEARCH("deciduous",Sheet1!AN149)),
        "deciduous",
        ""
    )
)</f>
        <v/>
      </c>
      <c r="J148" t="str">
        <v>well (dry spells)</v>
      </c>
      <c r="K148" t="str">
        <v>light shade</v>
      </c>
    </row>
    <row r="149" spans="1:11" x14ac:dyDescent="0.25">
      <c r="A149" t="str">
        <v>Cucumber</v>
      </c>
      <c r="B149" t="str">
        <v>Cucumis sativus</v>
      </c>
      <c r="C149" t="str">
        <v>annual</v>
      </c>
      <c r="D149" t="str">
        <v>herb</v>
      </c>
      <c r="F149" t="str">
        <v>medium, organic</v>
      </c>
      <c r="G149">
        <v>1100</v>
      </c>
      <c r="H149">
        <v>0.5</v>
      </c>
      <c r="I149" t="str">
        <f>IF(ISNUMBER(SEARCH("evergreen",Sheet1!AN150)),
    "evergreen",
    IF(ISNUMBER(SEARCH("deciduous",Sheet1!AN150)),
        "deciduous",
        ""
    )
)</f>
        <v/>
      </c>
      <c r="J149" t="str">
        <v>well (dry spells)</v>
      </c>
      <c r="K149" t="str">
        <v>clear skies</v>
      </c>
    </row>
    <row r="150" spans="1:11" x14ac:dyDescent="0.25">
      <c r="A150" t="str">
        <v>Kohlrabi</v>
      </c>
      <c r="B150" t="str">
        <v>Brassica oleracea var. gongyloides</v>
      </c>
      <c r="C150" t="str">
        <v>annual, biennial</v>
      </c>
      <c r="D150" t="str">
        <v>herb</v>
      </c>
      <c r="F150" t="str">
        <v>medium</v>
      </c>
      <c r="G150">
        <v>1100</v>
      </c>
      <c r="H150">
        <v>0.7</v>
      </c>
      <c r="I150" t="str">
        <f>IF(ISNUMBER(SEARCH("evergreen",Sheet1!AN151)),
    "evergreen",
    IF(ISNUMBER(SEARCH("deciduous",Sheet1!AN151)),
        "deciduous",
        ""
    )
)</f>
        <v/>
      </c>
      <c r="J150" t="str">
        <v>well (dry spells)</v>
      </c>
      <c r="K150" t="str">
        <v>cloudy skies</v>
      </c>
    </row>
    <row r="151" spans="1:11" x14ac:dyDescent="0.25">
      <c r="A151" t="str">
        <v>Beetroot</v>
      </c>
      <c r="B151" t="str">
        <v>Beta vulgaris var. saccharifera</v>
      </c>
      <c r="C151" t="str">
        <v>biennial</v>
      </c>
      <c r="D151" t="str">
        <v>herb</v>
      </c>
      <c r="F151" t="str">
        <v>medium, organic</v>
      </c>
      <c r="G151">
        <v>550</v>
      </c>
      <c r="H151">
        <v>0.6</v>
      </c>
      <c r="I151" t="str">
        <f>IF(ISNUMBER(SEARCH("evergreen",Sheet1!AN152)),
    "evergreen",
    IF(ISNUMBER(SEARCH("deciduous",Sheet1!AN152)),
        "deciduous",
        ""
    )
)</f>
        <v>deciduous</v>
      </c>
      <c r="J151" t="str">
        <v>well (dry spells)</v>
      </c>
      <c r="K151" t="str">
        <v>clear skies</v>
      </c>
    </row>
    <row r="152" spans="1:11" x14ac:dyDescent="0.25">
      <c r="A152" t="str">
        <v>Pawpaw / Papaya</v>
      </c>
      <c r="B152" t="str">
        <v>Carica papaya</v>
      </c>
      <c r="C152" t="str">
        <v>perennial</v>
      </c>
      <c r="D152" t="str">
        <v>herb</v>
      </c>
      <c r="F152" t="str">
        <v>medium, organic</v>
      </c>
      <c r="G152">
        <v>2000</v>
      </c>
      <c r="H152">
        <v>6</v>
      </c>
      <c r="I152" t="str">
        <f>IF(ISNUMBER(SEARCH("evergreen",Sheet1!AN153)),
    "evergreen",
    IF(ISNUMBER(SEARCH("deciduous",Sheet1!AN153)),
        "deciduous",
        ""
    )
)</f>
        <v>evergreen</v>
      </c>
      <c r="J152" t="str">
        <v>well (dry spells)</v>
      </c>
      <c r="K152" t="str">
        <v>cloudy skies</v>
      </c>
    </row>
    <row r="153" spans="1:11" x14ac:dyDescent="0.25">
      <c r="A153" t="str">
        <v>Coriander (Fresh)</v>
      </c>
      <c r="B153" t="str">
        <v>Coriandrum sativum</v>
      </c>
      <c r="C153" t="str">
        <v>annual</v>
      </c>
      <c r="D153" t="str">
        <v>herb</v>
      </c>
      <c r="F153" t="str">
        <v>medium</v>
      </c>
      <c r="G153">
        <v>950</v>
      </c>
      <c r="H153">
        <v>0.7</v>
      </c>
      <c r="I153" t="str">
        <f>IF(ISNUMBER(SEARCH("evergreen",Sheet1!AN154)),
    "evergreen",
    IF(ISNUMBER(SEARCH("deciduous",Sheet1!AN154)),
        "deciduous",
        ""
    )
)</f>
        <v/>
      </c>
      <c r="J153" t="str">
        <v>well (dry spells)</v>
      </c>
      <c r="K153" t="str">
        <v>cloudy skies</v>
      </c>
    </row>
    <row r="154" spans="1:11" x14ac:dyDescent="0.25">
      <c r="A154" t="str">
        <v>Snow Pea</v>
      </c>
      <c r="B154" t="str">
        <v>Pisum sativum</v>
      </c>
      <c r="C154" t="str">
        <v>annual</v>
      </c>
      <c r="D154" t="str">
        <v>herb</v>
      </c>
      <c r="F154" t="str">
        <v>heavy, medium, light</v>
      </c>
      <c r="G154">
        <v>1000</v>
      </c>
      <c r="H154">
        <v>1.5</v>
      </c>
      <c r="I154" t="str">
        <f>IF(ISNUMBER(SEARCH("evergreen",Sheet1!AN155)),
    "evergreen",
    IF(ISNUMBER(SEARCH("deciduous",Sheet1!AN155)),
        "deciduous",
        ""
    )
)</f>
        <v/>
      </c>
      <c r="J154" t="str">
        <v>well (dry spells)</v>
      </c>
      <c r="K154" t="str">
        <v>cloudy skies</v>
      </c>
    </row>
    <row r="155" spans="1:11" x14ac:dyDescent="0.25">
      <c r="A155" t="str">
        <v>Capsicum (Green)</v>
      </c>
      <c r="B155" t="str">
        <v>Capsicum annuum</v>
      </c>
      <c r="C155" t="str">
        <v>annual</v>
      </c>
      <c r="D155" t="str">
        <v>herb</v>
      </c>
      <c r="F155" t="str">
        <v>medium, organic</v>
      </c>
      <c r="G155">
        <v>925</v>
      </c>
      <c r="H155">
        <v>1.5</v>
      </c>
      <c r="I155" t="str">
        <f>IF(ISNUMBER(SEARCH("evergreen",Sheet1!AN156)),
    "evergreen",
    IF(ISNUMBER(SEARCH("deciduous",Sheet1!AN156)),
        "deciduous",
        ""
    )
)</f>
        <v/>
      </c>
      <c r="J155" t="str">
        <v>well (dry spells)</v>
      </c>
      <c r="K155" t="str">
        <v>cloudy skies</v>
      </c>
    </row>
    <row r="156" spans="1:11" x14ac:dyDescent="0.25">
      <c r="A156" t="str">
        <v>Persimmon</v>
      </c>
      <c r="B156" t="str">
        <v>Diospyros kaki</v>
      </c>
      <c r="C156" t="str">
        <v>perennial</v>
      </c>
      <c r="D156" t="str">
        <v>tree</v>
      </c>
      <c r="F156" t="str">
        <v>medium</v>
      </c>
      <c r="G156">
        <v>1350</v>
      </c>
      <c r="H156">
        <v>12</v>
      </c>
      <c r="I156" t="str">
        <f>IF(ISNUMBER(SEARCH("evergreen",Sheet1!AN157)),
    "evergreen",
    IF(ISNUMBER(SEARCH("deciduous",Sheet1!AN157)),
        "deciduous",
        ""
    )
)</f>
        <v>deciduous</v>
      </c>
      <c r="J156" t="str">
        <v>well (dry spells)</v>
      </c>
      <c r="K156" t="str">
        <v>cloudy skies</v>
      </c>
    </row>
    <row r="157" spans="1:11" x14ac:dyDescent="0.25">
      <c r="A157" t="str">
        <v>Pineapple</v>
      </c>
      <c r="B157" t="str">
        <v>Ananas comosus</v>
      </c>
      <c r="C157" t="str">
        <v>perennial</v>
      </c>
      <c r="D157" t="str">
        <v>herb</v>
      </c>
      <c r="F157" t="str">
        <v>medium, light</v>
      </c>
      <c r="G157">
        <v>1650</v>
      </c>
      <c r="H157">
        <v>1.5</v>
      </c>
      <c r="I157" t="str">
        <f>IF(ISNUMBER(SEARCH("evergreen",Sheet1!AN158)),
    "evergreen",
    IF(ISNUMBER(SEARCH("deciduous",Sheet1!AN158)),
        "deciduous",
        ""
    )
)</f>
        <v/>
      </c>
      <c r="J157" t="str">
        <v>well (dry spells)</v>
      </c>
      <c r="K157" t="str">
        <v>light shade</v>
      </c>
    </row>
    <row r="158" spans="1:11" x14ac:dyDescent="0.25">
      <c r="A158" t="str">
        <v>Basil</v>
      </c>
      <c r="B158" t="str">
        <v>Ocimum basilicum</v>
      </c>
      <c r="C158" t="str">
        <v>annual</v>
      </c>
      <c r="D158" t="str">
        <v>herb</v>
      </c>
      <c r="F158" t="str">
        <v>medium</v>
      </c>
      <c r="G158">
        <v>1300</v>
      </c>
      <c r="H158">
        <v>0.9</v>
      </c>
      <c r="I158" t="str">
        <f>IF(ISNUMBER(SEARCH("evergreen",Sheet1!AN159)),
    "evergreen",
    IF(ISNUMBER(SEARCH("deciduous",Sheet1!AN159)),
        "deciduous",
        ""
    )
)</f>
        <v/>
      </c>
      <c r="J158" t="str">
        <v>well (dry spells)</v>
      </c>
      <c r="K158" t="str">
        <v>clear skies</v>
      </c>
    </row>
    <row r="159" spans="1:11" x14ac:dyDescent="0.25">
      <c r="A159" t="str">
        <v>Corn (Sweet)</v>
      </c>
      <c r="B159" t="str">
        <v>Zea mays ssp. saccharata</v>
      </c>
      <c r="C159" t="str">
        <v>annual</v>
      </c>
      <c r="D159" t="str">
        <v>grass</v>
      </c>
      <c r="F159" t="str">
        <v>medium, organic</v>
      </c>
      <c r="G159">
        <v>1150</v>
      </c>
      <c r="H159">
        <v>3</v>
      </c>
      <c r="I159" t="str">
        <f>IF(ISNUMBER(SEARCH("evergreen",Sheet1!AN160)),
    "evergreen",
    IF(ISNUMBER(SEARCH("deciduous",Sheet1!AN160)),
        "deciduous",
        ""
    )
)</f>
        <v/>
      </c>
      <c r="J159" t="str">
        <v>well (dry spells)</v>
      </c>
      <c r="K159" t="str">
        <v>clear skies</v>
      </c>
    </row>
    <row r="160" spans="1:11" x14ac:dyDescent="0.25">
      <c r="A160" t="str">
        <v>Orange</v>
      </c>
      <c r="B160" t="str">
        <v>Citrus sinensis</v>
      </c>
      <c r="C160" t="str">
        <v>perennial</v>
      </c>
      <c r="D160" t="str">
        <v>tree</v>
      </c>
      <c r="F160" t="str">
        <v>medium, light</v>
      </c>
      <c r="G160">
        <v>1600</v>
      </c>
      <c r="H160">
        <v>10</v>
      </c>
      <c r="I160" t="str">
        <f>IF(ISNUMBER(SEARCH("evergreen",Sheet1!AN161)),
    "evergreen",
    IF(ISNUMBER(SEARCH("deciduous",Sheet1!AN161)),
        "deciduous",
        ""
    )
)</f>
        <v>evergreen</v>
      </c>
      <c r="J160" t="str">
        <v>well (dry spells)</v>
      </c>
      <c r="K160" t="str">
        <v>clear skies</v>
      </c>
    </row>
    <row r="161" spans="1:11" x14ac:dyDescent="0.25">
      <c r="A161" t="str">
        <v>Lime</v>
      </c>
      <c r="B161" t="str">
        <v>Citrus aurantifolia</v>
      </c>
      <c r="C161" t="str">
        <v>perennial</v>
      </c>
      <c r="D161" t="str">
        <v>tree</v>
      </c>
      <c r="F161" t="str">
        <v>medium, light</v>
      </c>
      <c r="G161">
        <v>2450</v>
      </c>
      <c r="H161">
        <v>5</v>
      </c>
      <c r="I161" t="str">
        <f>IF(ISNUMBER(SEARCH("evergreen",Sheet1!AN162)),
    "evergreen",
    IF(ISNUMBER(SEARCH("deciduous",Sheet1!AN162)),
        "deciduous",
        ""
    )
)</f>
        <v>evergreen</v>
      </c>
      <c r="J161" t="str">
        <v>well (dry spells)</v>
      </c>
      <c r="K161" t="str">
        <v>clear skies</v>
      </c>
    </row>
    <row r="162" spans="1:11" x14ac:dyDescent="0.25">
      <c r="A162" t="str">
        <v>Tangelo</v>
      </c>
      <c r="B162" t="str">
        <v>Citrus aurantium</v>
      </c>
      <c r="C162" t="str">
        <v>perennial</v>
      </c>
      <c r="D162" t="str">
        <v>tree</v>
      </c>
      <c r="F162" t="str">
        <v>medium, light</v>
      </c>
      <c r="G162">
        <v>1300</v>
      </c>
      <c r="H162">
        <v>8</v>
      </c>
      <c r="I162" t="str">
        <f>IF(ISNUMBER(SEARCH("evergreen",Sheet1!AN163)),
    "evergreen",
    IF(ISNUMBER(SEARCH("deciduous",Sheet1!AN163)),
        "deciduous",
        ""
    )
)</f>
        <v>evergreen</v>
      </c>
      <c r="J162" t="str">
        <v>well (dry spells)</v>
      </c>
      <c r="K162" t="str">
        <v>clear skies</v>
      </c>
    </row>
    <row r="163" spans="1:11" x14ac:dyDescent="0.25">
      <c r="A163" t="str">
        <v>Black Currant</v>
      </c>
      <c r="B163" t="str">
        <v>Ribes nigrum</v>
      </c>
      <c r="C163" t="str">
        <v>perennial</v>
      </c>
      <c r="D163" t="str">
        <v>shrub</v>
      </c>
      <c r="F163" t="str">
        <v>medium</v>
      </c>
      <c r="G163">
        <v>800</v>
      </c>
      <c r="H163">
        <v>1.8</v>
      </c>
      <c r="I163" t="str">
        <f>IF(ISNUMBER(SEARCH("evergreen",Sheet1!AN164)),
    "evergreen",
    IF(ISNUMBER(SEARCH("deciduous",Sheet1!AN164)),
        "deciduous",
        ""
    )
)</f>
        <v>deciduous</v>
      </c>
      <c r="J163" t="str">
        <v>well (dry spells)</v>
      </c>
      <c r="K163" t="str">
        <v>cloudy skies</v>
      </c>
    </row>
    <row r="164" spans="1:11" x14ac:dyDescent="0.25">
      <c r="A164" t="str">
        <v>Davidson Plum (Native)</v>
      </c>
      <c r="B164">
        <v>0</v>
      </c>
      <c r="C164">
        <v>0</v>
      </c>
      <c r="D164">
        <v>0</v>
      </c>
      <c r="F164">
        <v>0</v>
      </c>
      <c r="G164">
        <v>0</v>
      </c>
      <c r="H164">
        <v>18</v>
      </c>
      <c r="I164" t="str">
        <f>IF(ISNUMBER(SEARCH("evergreen",Sheet1!AN165)),
    "evergreen",
    IF(ISNUMBER(SEARCH("deciduous",Sheet1!AN165)),
        "deciduous",
        ""
    )
)</f>
        <v/>
      </c>
      <c r="J164">
        <v>0</v>
      </c>
      <c r="K164">
        <v>0</v>
      </c>
    </row>
    <row r="165" spans="1:11" x14ac:dyDescent="0.25">
      <c r="A165" t="str">
        <v>Zucchini (Courgette)</v>
      </c>
      <c r="B165" t="str">
        <v>Cucurbita mixta</v>
      </c>
      <c r="C165" t="str">
        <v>annual</v>
      </c>
      <c r="D165" t="str">
        <v>herb, vine</v>
      </c>
      <c r="F165" t="str">
        <v>medium</v>
      </c>
      <c r="G165">
        <v>1300</v>
      </c>
      <c r="H165">
        <v>1</v>
      </c>
      <c r="I165" t="str">
        <f>IF(ISNUMBER(SEARCH("evergreen",Sheet1!AN166)),
    "evergreen",
    IF(ISNUMBER(SEARCH("deciduous",Sheet1!AN166)),
        "deciduous",
        ""
    )
)</f>
        <v/>
      </c>
      <c r="J165" t="str">
        <v>well (dry spells)</v>
      </c>
      <c r="K165" t="str">
        <v>cloudy skies</v>
      </c>
    </row>
    <row r="166" spans="1:11" x14ac:dyDescent="0.25">
      <c r="A166" t="str">
        <v>Mandarin</v>
      </c>
      <c r="B166" t="str">
        <v>Citrus reticulata</v>
      </c>
      <c r="C166" t="str">
        <v>perennial</v>
      </c>
      <c r="D166" t="str">
        <v>tree</v>
      </c>
      <c r="F166" t="str">
        <v>medium, light</v>
      </c>
      <c r="G166">
        <v>1500</v>
      </c>
      <c r="H166">
        <v>7</v>
      </c>
      <c r="I166" t="str">
        <f>IF(ISNUMBER(SEARCH("evergreen",Sheet1!AN167)),
    "evergreen",
    IF(ISNUMBER(SEARCH("deciduous",Sheet1!AN167)),
        "deciduous",
        ""
    )
)</f>
        <v>evergreen</v>
      </c>
      <c r="J166" t="str">
        <v>well (dry spells)</v>
      </c>
      <c r="K166" t="str">
        <v>clear skies</v>
      </c>
    </row>
    <row r="167" spans="1:11" x14ac:dyDescent="0.25">
      <c r="A167" t="str">
        <v>Bean (Green)</v>
      </c>
      <c r="B167" t="str">
        <v>Phaseolus vulgaris</v>
      </c>
      <c r="C167" t="str">
        <v>annual</v>
      </c>
      <c r="D167" t="str">
        <v>herb</v>
      </c>
      <c r="F167" t="str">
        <v>medium, organic</v>
      </c>
      <c r="G167">
        <v>1250</v>
      </c>
      <c r="H167">
        <v>0.6</v>
      </c>
      <c r="I167" t="str">
        <f>IF(ISNUMBER(SEARCH("evergreen",Sheet1!AN168)),
    "evergreen",
    IF(ISNUMBER(SEARCH("deciduous",Sheet1!AN168)),
        "deciduous",
        ""
    )
)</f>
        <v/>
      </c>
      <c r="J167" t="str">
        <v>well (dry spells)</v>
      </c>
      <c r="K167" t="str">
        <v>cloudy skies</v>
      </c>
    </row>
    <row r="168" spans="1:11" x14ac:dyDescent="0.25">
      <c r="A168" t="str">
        <v>Melon (Rockmelon/Cantaloupe)</v>
      </c>
      <c r="B168">
        <v>0</v>
      </c>
      <c r="C168">
        <v>0</v>
      </c>
      <c r="D168">
        <v>0</v>
      </c>
      <c r="F168">
        <v>0</v>
      </c>
      <c r="G168">
        <v>0</v>
      </c>
      <c r="H168">
        <v>0.5</v>
      </c>
      <c r="I168" t="str">
        <f>IF(ISNUMBER(SEARCH("evergreen",Sheet1!AN169)),
    "evergreen",
    IF(ISNUMBER(SEARCH("deciduous",Sheet1!AN169)),
        "deciduous",
        ""
    )
)</f>
        <v/>
      </c>
      <c r="J168">
        <v>0</v>
      </c>
      <c r="K168">
        <v>0</v>
      </c>
    </row>
    <row r="169" spans="1:11" x14ac:dyDescent="0.25">
      <c r="A169" t="str">
        <v>Mango</v>
      </c>
      <c r="B169" t="str">
        <v>Mangifera indica</v>
      </c>
      <c r="C169" t="str">
        <v>perennial</v>
      </c>
      <c r="D169" t="str">
        <v>tree</v>
      </c>
      <c r="F169" t="str">
        <v>medium, light</v>
      </c>
      <c r="G169">
        <v>1050</v>
      </c>
      <c r="H169">
        <v>30</v>
      </c>
      <c r="I169" t="str">
        <f>IF(ISNUMBER(SEARCH("evergreen",Sheet1!AN170)),
    "evergreen",
    IF(ISNUMBER(SEARCH("deciduous",Sheet1!AN170)),
        "deciduous",
        ""
    )
)</f>
        <v/>
      </c>
      <c r="J169" t="str">
        <v>well (dry spells)</v>
      </c>
      <c r="K169" t="str">
        <v>very bright</v>
      </c>
    </row>
    <row r="170" spans="1:11" x14ac:dyDescent="0.25">
      <c r="A170" t="str">
        <v>Melon (Honeydew)</v>
      </c>
      <c r="B170">
        <v>0</v>
      </c>
      <c r="C170">
        <v>0</v>
      </c>
      <c r="D170">
        <v>0</v>
      </c>
      <c r="F170">
        <v>0</v>
      </c>
      <c r="G170">
        <v>0</v>
      </c>
      <c r="H170">
        <v>0.5</v>
      </c>
      <c r="I170" t="str">
        <f>IF(ISNUMBER(SEARCH("evergreen",Sheet1!AN171)),
    "evergreen",
    IF(ISNUMBER(SEARCH("deciduous",Sheet1!AN171)),
        "deciduous",
        ""
    )
)</f>
        <v/>
      </c>
      <c r="J170">
        <v>0</v>
      </c>
      <c r="K170">
        <v>0</v>
      </c>
    </row>
    <row r="171" spans="1:11" x14ac:dyDescent="0.25">
      <c r="A171" t="str">
        <v>Grapefruit</v>
      </c>
      <c r="B171" t="str">
        <v>Citrus paradisi</v>
      </c>
      <c r="C171" t="str">
        <v>perennial</v>
      </c>
      <c r="D171" t="str">
        <v>tree</v>
      </c>
      <c r="F171" t="str">
        <v>medium, light</v>
      </c>
      <c r="G171">
        <v>1900</v>
      </c>
      <c r="H171">
        <v>15</v>
      </c>
      <c r="I171" t="str">
        <f>IF(ISNUMBER(SEARCH("evergreen",Sheet1!AN172)),
    "evergreen",
    IF(ISNUMBER(SEARCH("deciduous",Sheet1!AN172)),
        "deciduous",
        ""
    )
)</f>
        <v>evergreen</v>
      </c>
      <c r="J171" t="str">
        <v>well (dry spells)</v>
      </c>
      <c r="K171" t="str">
        <v>clear skies</v>
      </c>
    </row>
    <row r="172" spans="1:11" x14ac:dyDescent="0.25">
      <c r="A172" t="str">
        <v>Sour Cherry</v>
      </c>
      <c r="B172" t="str">
        <v>Prunus cerasus</v>
      </c>
      <c r="C172" t="str">
        <v>perennial</v>
      </c>
      <c r="D172" t="str">
        <v>tree</v>
      </c>
      <c r="F172" t="str">
        <v>medium</v>
      </c>
      <c r="G172">
        <v>1200</v>
      </c>
      <c r="H172">
        <v>8</v>
      </c>
      <c r="I172" t="str">
        <f>IF(ISNUMBER(SEARCH("evergreen",Sheet1!AN173)),
    "evergreen",
    IF(ISNUMBER(SEARCH("deciduous",Sheet1!AN173)),
        "deciduous",
        ""
    )
)</f>
        <v>deciduous</v>
      </c>
      <c r="J172" t="str">
        <v>well (dry spells)</v>
      </c>
      <c r="K172" t="str">
        <v>cloudy skies</v>
      </c>
    </row>
    <row r="173" spans="1:11" x14ac:dyDescent="0.25">
      <c r="A173" t="str">
        <v>Apricot</v>
      </c>
      <c r="B173" t="str">
        <v>Prunus armeniaca</v>
      </c>
      <c r="C173" t="str">
        <v>perennial</v>
      </c>
      <c r="D173" t="str">
        <v>tree</v>
      </c>
      <c r="F173" t="str">
        <v>medium</v>
      </c>
      <c r="G173">
        <v>1100</v>
      </c>
      <c r="H173">
        <v>8</v>
      </c>
      <c r="I173" t="str">
        <f>IF(ISNUMBER(SEARCH("evergreen",Sheet1!AN174)),
    "evergreen",
    IF(ISNUMBER(SEARCH("deciduous",Sheet1!AN174)),
        "deciduous",
        ""
    )
)</f>
        <v>deciduous</v>
      </c>
      <c r="J173" t="str">
        <v>well (dry spells)</v>
      </c>
      <c r="K173" t="str">
        <v>clear skies</v>
      </c>
    </row>
    <row r="174" spans="1:11" x14ac:dyDescent="0.25">
      <c r="A174" t="str">
        <v>Cumquat (Kumquat)</v>
      </c>
      <c r="B174" t="str">
        <v>Fortunella hindsii</v>
      </c>
      <c r="C174" t="str">
        <v>perennial</v>
      </c>
      <c r="D174" t="str">
        <v>shrub, tree</v>
      </c>
      <c r="F174" t="str">
        <v>medium</v>
      </c>
      <c r="G174">
        <v>1300</v>
      </c>
      <c r="H174">
        <v>4.5</v>
      </c>
      <c r="I174" t="str">
        <f>IF(ISNUMBER(SEARCH("evergreen",Sheet1!AN175)),
    "evergreen",
    IF(ISNUMBER(SEARCH("deciduous",Sheet1!AN175)),
        "deciduous",
        ""
    )
)</f>
        <v>evergreen</v>
      </c>
      <c r="J174" t="str">
        <v>well (dry spells)</v>
      </c>
      <c r="K174" t="str">
        <v>cloudy skies</v>
      </c>
    </row>
    <row r="175" spans="1:11" x14ac:dyDescent="0.25">
      <c r="A175" t="str">
        <v>Onion</v>
      </c>
      <c r="B175" t="str">
        <v>Allium cepa</v>
      </c>
      <c r="C175" t="str">
        <v>biennial</v>
      </c>
      <c r="D175" t="str">
        <v>herb</v>
      </c>
      <c r="F175" t="str">
        <v>medium, organic</v>
      </c>
      <c r="G175">
        <v>475</v>
      </c>
      <c r="H175">
        <v>0.8</v>
      </c>
      <c r="I175" t="str">
        <f>IF(ISNUMBER(SEARCH("evergreen",Sheet1!AN176)),
    "evergreen",
    IF(ISNUMBER(SEARCH("deciduous",Sheet1!AN176)),
        "deciduous",
        ""
    )
)</f>
        <v/>
      </c>
      <c r="J175" t="str">
        <v>well (dry spells)</v>
      </c>
      <c r="K175" t="str">
        <v>very bright</v>
      </c>
    </row>
    <row r="176" spans="1:11" x14ac:dyDescent="0.25">
      <c r="A176" t="str">
        <v>Plum</v>
      </c>
      <c r="B176" t="str">
        <v>Prunus domestica</v>
      </c>
      <c r="C176" t="str">
        <v>perennial</v>
      </c>
      <c r="D176" t="str">
        <v>tree</v>
      </c>
      <c r="F176" t="str">
        <v>heavy, medium</v>
      </c>
      <c r="G176">
        <v>1200</v>
      </c>
      <c r="H176">
        <v>8</v>
      </c>
      <c r="I176" t="str">
        <f>IF(ISNUMBER(SEARCH("evergreen",Sheet1!AN177)),
    "evergreen",
    IF(ISNUMBER(SEARCH("deciduous",Sheet1!AN177)),
        "deciduous",
        ""
    )
)</f>
        <v/>
      </c>
      <c r="J176" t="str">
        <v>well (dry spells)</v>
      </c>
      <c r="K176" t="str">
        <v>clear skies</v>
      </c>
    </row>
    <row r="177" spans="1:11" x14ac:dyDescent="0.25">
      <c r="A177" t="str">
        <v>Tangerine / Tangor</v>
      </c>
      <c r="B177" t="str">
        <v>Citrus reticulata</v>
      </c>
      <c r="C177" t="str">
        <v>perennial</v>
      </c>
      <c r="D177" t="str">
        <v>tree</v>
      </c>
      <c r="F177" t="str">
        <v>medium, light</v>
      </c>
      <c r="G177">
        <v>1500</v>
      </c>
      <c r="H177">
        <v>7</v>
      </c>
      <c r="I177" t="str">
        <f>IF(ISNUMBER(SEARCH("evergreen",Sheet1!AN178)),
    "evergreen",
    IF(ISNUMBER(SEARCH("deciduous",Sheet1!AN178)),
        "deciduous",
        ""
    )
)</f>
        <v>evergreen</v>
      </c>
      <c r="J177" t="str">
        <v>well (dry spells)</v>
      </c>
      <c r="K177" t="str">
        <v>clear skies</v>
      </c>
    </row>
    <row r="178" spans="1:11" x14ac:dyDescent="0.25">
      <c r="A178" t="str">
        <v>Lemon</v>
      </c>
      <c r="B178" t="str">
        <v>Citrus limon</v>
      </c>
      <c r="C178" t="str">
        <v>perennial</v>
      </c>
      <c r="D178" t="str">
        <v>tree</v>
      </c>
      <c r="F178" t="str">
        <v>medium, light</v>
      </c>
      <c r="G178">
        <v>1650</v>
      </c>
      <c r="H178">
        <v>6</v>
      </c>
      <c r="I178" t="str">
        <f>IF(ISNUMBER(SEARCH("evergreen",Sheet1!AN179)),
    "evergreen",
    IF(ISNUMBER(SEARCH("deciduous",Sheet1!AN179)),
        "deciduous",
        ""
    )
)</f>
        <v>evergreen</v>
      </c>
      <c r="J178" t="str">
        <v>well (dry spells)</v>
      </c>
      <c r="K178" t="str">
        <v>clear skies</v>
      </c>
    </row>
    <row r="179" spans="1:11" x14ac:dyDescent="0.25">
      <c r="A179" t="str">
        <v>Native Lime (Finger Lime)</v>
      </c>
      <c r="B179">
        <v>0</v>
      </c>
      <c r="C179">
        <v>0</v>
      </c>
      <c r="D179">
        <v>0</v>
      </c>
      <c r="F179">
        <v>0</v>
      </c>
      <c r="G179">
        <v>0</v>
      </c>
      <c r="H179">
        <v>8</v>
      </c>
      <c r="I179" t="str">
        <f>IF(ISNUMBER(SEARCH("evergreen",Sheet1!AN180)),
    "evergreen",
    IF(ISNUMBER(SEARCH("deciduous",Sheet1!AN180)),
        "deciduous",
        ""
    )
)</f>
        <v/>
      </c>
      <c r="J179">
        <v>0</v>
      </c>
      <c r="K179">
        <v>0</v>
      </c>
    </row>
    <row r="180" spans="1:11" x14ac:dyDescent="0.25">
      <c r="A180" t="str">
        <v>Pomelo</v>
      </c>
      <c r="B180" t="str">
        <v>Citrus grandis</v>
      </c>
      <c r="C180" t="str">
        <v>perennial</v>
      </c>
      <c r="D180" t="str">
        <v>tree</v>
      </c>
      <c r="F180" t="str">
        <v>medium, organic</v>
      </c>
      <c r="G180">
        <v>2000</v>
      </c>
      <c r="H180">
        <v>15</v>
      </c>
      <c r="I180" t="str">
        <f>IF(ISNUMBER(SEARCH("evergreen",Sheet1!AN181)),
    "evergreen",
    IF(ISNUMBER(SEARCH("deciduous",Sheet1!AN181)),
        "deciduous",
        ""
    )
)</f>
        <v>evergreen</v>
      </c>
      <c r="J180" t="str">
        <v>well (dry spells)</v>
      </c>
      <c r="K180" t="str">
        <v>very bright</v>
      </c>
    </row>
    <row r="181" spans="1:11" x14ac:dyDescent="0.25">
      <c r="A181" t="str">
        <v>Wax Jambu (Rose Apple)</v>
      </c>
      <c r="B181" t="str">
        <v>Eugenia jambos</v>
      </c>
      <c r="C181" t="str">
        <v>perennial</v>
      </c>
      <c r="D181" t="str">
        <v>tree</v>
      </c>
      <c r="F181" t="str">
        <v>medium, organic</v>
      </c>
      <c r="G181">
        <v>1400</v>
      </c>
      <c r="H181">
        <v>10</v>
      </c>
      <c r="I181" t="str">
        <f>IF(ISNUMBER(SEARCH("evergreen",Sheet1!AN182)),
    "evergreen",
    IF(ISNUMBER(SEARCH("deciduous",Sheet1!AN182)),
        "deciduous",
        ""
    )
)</f>
        <v>evergreen</v>
      </c>
      <c r="J181" t="str">
        <v>well (dry spells)</v>
      </c>
      <c r="K181" t="str">
        <v>light shade</v>
      </c>
    </row>
    <row r="182" spans="1:11" x14ac:dyDescent="0.25">
      <c r="A182" t="str">
        <v>Quandong (Native)</v>
      </c>
      <c r="B182">
        <v>0</v>
      </c>
      <c r="C182">
        <v>0</v>
      </c>
      <c r="D182">
        <v>0</v>
      </c>
      <c r="F182">
        <v>0</v>
      </c>
      <c r="G182">
        <v>0</v>
      </c>
      <c r="H182">
        <v>8</v>
      </c>
      <c r="I182" t="str">
        <f>IF(ISNUMBER(SEARCH("evergreen",Sheet1!AN183)),
    "evergreen",
    IF(ISNUMBER(SEARCH("deciduous",Sheet1!AN183)),
        "deciduous",
        ""
    )
)</f>
        <v/>
      </c>
      <c r="J182">
        <v>0</v>
      </c>
      <c r="K182">
        <v>0</v>
      </c>
    </row>
    <row r="183" spans="1:11" x14ac:dyDescent="0.25">
      <c r="A183" t="str">
        <v>Carrot</v>
      </c>
      <c r="B183" t="str">
        <v>Daucus carota</v>
      </c>
      <c r="C183" t="str">
        <v>biennial</v>
      </c>
      <c r="D183" t="str">
        <v>herb</v>
      </c>
      <c r="F183" t="str">
        <v>medium, organic</v>
      </c>
      <c r="G183">
        <v>900</v>
      </c>
      <c r="H183">
        <v>0.5</v>
      </c>
      <c r="I183" t="str">
        <f>IF(ISNUMBER(SEARCH("evergreen",Sheet1!AN184)),
    "evergreen",
    IF(ISNUMBER(SEARCH("deciduous",Sheet1!AN184)),
        "deciduous",
        ""
    )
)</f>
        <v/>
      </c>
      <c r="J183" t="str">
        <v>well (dry spells)</v>
      </c>
      <c r="K183" t="str">
        <v>cloudy skies</v>
      </c>
    </row>
    <row r="184" spans="1:11" x14ac:dyDescent="0.25">
      <c r="A184" t="str">
        <v>Rambutan</v>
      </c>
      <c r="B184" t="str">
        <v>Nephelium lappaceum</v>
      </c>
      <c r="C184" t="str">
        <v>perennial</v>
      </c>
      <c r="D184" t="str">
        <v>tree</v>
      </c>
      <c r="F184" t="str">
        <v>medium</v>
      </c>
      <c r="G184">
        <v>2500</v>
      </c>
      <c r="H184">
        <v>25</v>
      </c>
      <c r="I184" t="str">
        <f>IF(ISNUMBER(SEARCH("evergreen",Sheet1!AN185)),
    "evergreen",
    IF(ISNUMBER(SEARCH("deciduous",Sheet1!AN185)),
        "deciduous",
        ""
    )
)</f>
        <v>evergreen</v>
      </c>
      <c r="J184" t="str">
        <v>well (dry spells)</v>
      </c>
      <c r="K184" t="str">
        <v>light shade</v>
      </c>
    </row>
    <row r="185" spans="1:11" x14ac:dyDescent="0.25">
      <c r="A185" t="str">
        <v>Apple</v>
      </c>
      <c r="B185" t="str">
        <v>Malus domestica</v>
      </c>
      <c r="C185" t="str">
        <v>perennial</v>
      </c>
      <c r="D185" t="str">
        <v>tree</v>
      </c>
      <c r="F185" t="str">
        <v>medium, light</v>
      </c>
      <c r="G185">
        <v>1600</v>
      </c>
      <c r="H185">
        <v>9</v>
      </c>
      <c r="I185" t="str">
        <f>IF(ISNUMBER(SEARCH("evergreen",Sheet1!AN186)),
    "evergreen",
    IF(ISNUMBER(SEARCH("deciduous",Sheet1!AN186)),
        "deciduous",
        ""
    )
)</f>
        <v>deciduous</v>
      </c>
      <c r="J185" t="str">
        <v>well (dry spells)</v>
      </c>
      <c r="K185" t="str">
        <v>cloudy skies</v>
      </c>
    </row>
    <row r="186" spans="1:11" x14ac:dyDescent="0.25">
      <c r="A186" t="str">
        <v>Mangosteen</v>
      </c>
      <c r="B186" t="str">
        <v>Garcinia mangostana</v>
      </c>
      <c r="C186" t="str">
        <v>perennial</v>
      </c>
      <c r="D186" t="str">
        <v>tree</v>
      </c>
      <c r="F186" t="str">
        <v>heavy, medium</v>
      </c>
      <c r="G186">
        <v>1800</v>
      </c>
      <c r="H186">
        <v>25</v>
      </c>
      <c r="I186" t="str">
        <f>IF(ISNUMBER(SEARCH("evergreen",Sheet1!AN187)),
    "evergreen",
    IF(ISNUMBER(SEARCH("deciduous",Sheet1!AN187)),
        "deciduous",
        ""
    )
)</f>
        <v>evergreen</v>
      </c>
      <c r="J186" t="str">
        <v>well (dry spells)</v>
      </c>
      <c r="K186" t="str">
        <v>light shade</v>
      </c>
    </row>
    <row r="187" spans="1:11" x14ac:dyDescent="0.25">
      <c r="A187" t="str">
        <v>Peach</v>
      </c>
      <c r="B187" t="str">
        <v>Prunus persica</v>
      </c>
      <c r="C187" t="str">
        <v>perennial</v>
      </c>
      <c r="D187" t="str">
        <v>shrub, tree</v>
      </c>
      <c r="F187" t="str">
        <v>medium, light</v>
      </c>
      <c r="G187">
        <v>1000</v>
      </c>
      <c r="H187">
        <v>7</v>
      </c>
      <c r="I187" t="str">
        <f>IF(ISNUMBER(SEARCH("evergreen",Sheet1!AN188)),
    "evergreen",
    IF(ISNUMBER(SEARCH("deciduous",Sheet1!AN188)),
        "deciduous",
        ""
    )
)</f>
        <v>deciduous</v>
      </c>
      <c r="J187" t="str">
        <v>well (dry spells)</v>
      </c>
      <c r="K187" t="str">
        <v>cloudy skies</v>
      </c>
    </row>
    <row r="188" spans="1:11" x14ac:dyDescent="0.25">
      <c r="A188" t="str">
        <v>Pumpkin</v>
      </c>
      <c r="B188" t="str">
        <v>Cucurbita maxima</v>
      </c>
      <c r="C188" t="str">
        <v>annual</v>
      </c>
      <c r="D188" t="str">
        <v>vine</v>
      </c>
      <c r="F188" t="str">
        <v>heavy, medium, light, organic</v>
      </c>
      <c r="G188">
        <v>800</v>
      </c>
      <c r="H188">
        <v>0.6</v>
      </c>
      <c r="I188" t="str">
        <f>IF(ISNUMBER(SEARCH("evergreen",Sheet1!AN189)),
    "evergreen",
    IF(ISNUMBER(SEARCH("deciduous",Sheet1!AN189)),
        "deciduous",
        ""
    )
)</f>
        <v/>
      </c>
      <c r="J188" t="str">
        <v>well (dry spells)</v>
      </c>
      <c r="K188" t="str">
        <v>cloudy skies</v>
      </c>
    </row>
    <row r="189" spans="1:11" x14ac:dyDescent="0.25">
      <c r="A189" t="str">
        <v>Longan</v>
      </c>
      <c r="B189" t="str">
        <v>Dimocarpus longan var. longan</v>
      </c>
      <c r="C189" t="str">
        <v>perennial</v>
      </c>
      <c r="D189" t="str">
        <v>shrub, tree</v>
      </c>
      <c r="F189" t="str">
        <v>medium, light</v>
      </c>
      <c r="G189">
        <v>1650</v>
      </c>
      <c r="H189">
        <v>20</v>
      </c>
      <c r="I189" t="str">
        <f>IF(ISNUMBER(SEARCH("evergreen",Sheet1!AN190)),
    "evergreen",
    IF(ISNUMBER(SEARCH("deciduous",Sheet1!AN190)),
        "deciduous",
        ""
    )
)</f>
        <v>evergreen</v>
      </c>
      <c r="J189" t="str">
        <v>well (dry spells)</v>
      </c>
      <c r="K189" t="str">
        <v>light shade</v>
      </c>
    </row>
    <row r="190" spans="1:11" x14ac:dyDescent="0.25">
      <c r="A190" t="str">
        <v>Carissa</v>
      </c>
      <c r="B190">
        <v>0</v>
      </c>
      <c r="C190">
        <v>0</v>
      </c>
      <c r="D190">
        <v>0</v>
      </c>
      <c r="F190">
        <v>0</v>
      </c>
      <c r="G190">
        <v>0</v>
      </c>
      <c r="H190">
        <v>3</v>
      </c>
      <c r="I190" t="str">
        <f>IF(ISNUMBER(SEARCH("evergreen",Sheet1!AN191)),
    "evergreen",
    IF(ISNUMBER(SEARCH("deciduous",Sheet1!AN191)),
        "deciduous",
        ""
    )
)</f>
        <v/>
      </c>
      <c r="J190">
        <v>0</v>
      </c>
      <c r="K190">
        <v>0</v>
      </c>
    </row>
    <row r="191" spans="1:11" x14ac:dyDescent="0.25">
      <c r="A191" t="str">
        <v>Nectarine</v>
      </c>
      <c r="B191">
        <v>0</v>
      </c>
      <c r="C191">
        <v>0</v>
      </c>
      <c r="D191">
        <v>0</v>
      </c>
      <c r="F191">
        <v>0</v>
      </c>
      <c r="G191">
        <v>0</v>
      </c>
      <c r="H191">
        <v>7</v>
      </c>
      <c r="I191" t="str">
        <f>IF(ISNUMBER(SEARCH("evergreen",Sheet1!AN192)),
    "evergreen",
    IF(ISNUMBER(SEARCH("deciduous",Sheet1!AN192)),
        "deciduous",
        ""
    )
)</f>
        <v/>
      </c>
      <c r="J191">
        <v>0</v>
      </c>
      <c r="K191">
        <v>0</v>
      </c>
    </row>
    <row r="192" spans="1:11" x14ac:dyDescent="0.25">
      <c r="A192" t="str">
        <v>Grape</v>
      </c>
      <c r="B192" t="str">
        <v>Vitis vinifera</v>
      </c>
      <c r="C192" t="str">
        <v>perennial</v>
      </c>
      <c r="D192" t="str">
        <v>vine, shrub</v>
      </c>
      <c r="F192" t="str">
        <v>medium, organic</v>
      </c>
      <c r="G192">
        <v>775</v>
      </c>
      <c r="H192">
        <v>2</v>
      </c>
      <c r="I192" t="str">
        <f>IF(ISNUMBER(SEARCH("evergreen",Sheet1!AN193)),
    "evergreen",
    IF(ISNUMBER(SEARCH("deciduous",Sheet1!AN193)),
        "deciduous",
        ""
    )
)</f>
        <v>deciduous</v>
      </c>
      <c r="J192" t="str">
        <v>well (dry spells)</v>
      </c>
      <c r="K192" t="str">
        <v>clear skies</v>
      </c>
    </row>
    <row r="193" spans="1:11" x14ac:dyDescent="0.25">
      <c r="A193" t="str">
        <v>Cherry</v>
      </c>
      <c r="B193" t="str">
        <v>Prunus avium</v>
      </c>
      <c r="C193" t="str">
        <v>perennial</v>
      </c>
      <c r="D193" t="str">
        <v>tree</v>
      </c>
      <c r="F193" t="str">
        <v>heavy, medium</v>
      </c>
      <c r="G193">
        <v>700</v>
      </c>
      <c r="H193">
        <v>10</v>
      </c>
      <c r="I193" t="str">
        <f>IF(ISNUMBER(SEARCH("evergreen",Sheet1!AN194)),
    "evergreen",
    IF(ISNUMBER(SEARCH("deciduous",Sheet1!AN194)),
        "deciduous",
        ""
    )
)</f>
        <v>deciduous</v>
      </c>
      <c r="J193" t="str">
        <v>well (dry spells)</v>
      </c>
      <c r="K193" t="str">
        <v>clear skies</v>
      </c>
    </row>
    <row r="194" spans="1:11" x14ac:dyDescent="0.25">
      <c r="A194" t="str">
        <v>Roselle</v>
      </c>
      <c r="B194" t="str">
        <v>Hibiscus sabdariffa</v>
      </c>
      <c r="C194" t="str">
        <v>annual</v>
      </c>
      <c r="D194" t="str">
        <v>herb</v>
      </c>
      <c r="F194" t="str">
        <v>medium, organic</v>
      </c>
      <c r="G194">
        <v>2000</v>
      </c>
      <c r="H194">
        <v>3</v>
      </c>
      <c r="I194" t="str">
        <f>IF(ISNUMBER(SEARCH("evergreen",Sheet1!AN195)),
    "evergreen",
    IF(ISNUMBER(SEARCH("deciduous",Sheet1!AN195)),
        "deciduous",
        ""
    )
)</f>
        <v/>
      </c>
      <c r="J194" t="str">
        <v>well (dry spells)</v>
      </c>
      <c r="K194" t="str">
        <v>very bright</v>
      </c>
    </row>
    <row r="195" spans="1:11" x14ac:dyDescent="0.25">
      <c r="A195" t="str">
        <v>Lettuce (Iceberg)</v>
      </c>
      <c r="B195" t="str">
        <v>Lactuca sativa var. capitata</v>
      </c>
      <c r="C195" t="str">
        <v>annual, biennial</v>
      </c>
      <c r="D195" t="str">
        <v>herb</v>
      </c>
      <c r="F195" t="str">
        <v>medium, light</v>
      </c>
      <c r="G195">
        <v>1250</v>
      </c>
      <c r="H195">
        <v>0.4</v>
      </c>
      <c r="I195" t="str">
        <f>IF(ISNUMBER(SEARCH("evergreen",Sheet1!AN196)),
    "evergreen",
    IF(ISNUMBER(SEARCH("deciduous",Sheet1!AN196)),
        "deciduous",
        ""
    )
)</f>
        <v/>
      </c>
      <c r="J195" t="str">
        <v>well (dry spells)</v>
      </c>
      <c r="K195" t="str">
        <v>cloudy skies</v>
      </c>
    </row>
    <row r="196" spans="1:11" x14ac:dyDescent="0.25">
      <c r="A196" t="str">
        <v>Pear</v>
      </c>
      <c r="B196" t="str">
        <v>Pyrus communis</v>
      </c>
      <c r="C196" t="str">
        <v>perennial</v>
      </c>
      <c r="D196" t="str">
        <v>tree</v>
      </c>
      <c r="F196" t="str">
        <v>heavy, medium</v>
      </c>
      <c r="G196">
        <v>750</v>
      </c>
      <c r="H196">
        <v>10</v>
      </c>
      <c r="I196" t="str">
        <f>IF(ISNUMBER(SEARCH("evergreen",Sheet1!AN197)),
    "evergreen",
    IF(ISNUMBER(SEARCH("deciduous",Sheet1!AN197)),
        "deciduous",
        ""
    )
)</f>
        <v>deciduous</v>
      </c>
      <c r="J196" t="str">
        <v>well (dry spells)</v>
      </c>
      <c r="K196" t="str">
        <v>clear skies</v>
      </c>
    </row>
    <row r="197" spans="1:11" x14ac:dyDescent="0.25">
      <c r="A197" t="str">
        <v>Blueberry</v>
      </c>
      <c r="B197" t="str">
        <v>Vaccinium corymbosum</v>
      </c>
      <c r="C197" t="str">
        <v>perennial</v>
      </c>
      <c r="D197" t="str">
        <v>shrub</v>
      </c>
      <c r="F197" t="str">
        <v>medium, organic</v>
      </c>
      <c r="G197">
        <v>1000</v>
      </c>
      <c r="H197">
        <v>2.5</v>
      </c>
      <c r="I197" t="str">
        <f>IF(ISNUMBER(SEARCH("evergreen",Sheet1!AN198)),
    "evergreen",
    IF(ISNUMBER(SEARCH("deciduous",Sheet1!AN198)),
        "deciduous",
        ""
    )
)</f>
        <v>deciduous</v>
      </c>
      <c r="J197" t="str">
        <v>well (dry spells)</v>
      </c>
      <c r="K197" t="str">
        <v>very bright</v>
      </c>
    </row>
    <row r="198" spans="1:11" x14ac:dyDescent="0.25">
      <c r="A198">
        <v>0</v>
      </c>
      <c r="B198">
        <v>0</v>
      </c>
      <c r="C198">
        <v>0</v>
      </c>
      <c r="D198">
        <v>0</v>
      </c>
      <c r="F198">
        <v>0</v>
      </c>
      <c r="G198">
        <v>0</v>
      </c>
      <c r="H198">
        <v>0</v>
      </c>
      <c r="I198" t="str">
        <f>IF(ISNUMBER(SEARCH("evergreen",Sheet1!AN199)),
    "evergreen",
    IF(ISNUMBER(SEARCH("deciduous",Sheet1!AN199)),
        "deciduous",
        ""
    )
)</f>
        <v/>
      </c>
      <c r="J198">
        <v>0</v>
      </c>
      <c r="K198">
        <v>0</v>
      </c>
    </row>
    <row r="199" spans="1:11" x14ac:dyDescent="0.25">
      <c r="A199">
        <v>0</v>
      </c>
      <c r="B199">
        <v>0</v>
      </c>
      <c r="C199">
        <v>0</v>
      </c>
      <c r="D199">
        <v>0</v>
      </c>
      <c r="F199">
        <v>0</v>
      </c>
      <c r="G199">
        <v>0</v>
      </c>
      <c r="H199">
        <v>0</v>
      </c>
      <c r="I199" t="str">
        <f>IF(ISNUMBER(SEARCH("evergreen",Sheet1!AN200)),
    "evergreen",
    IF(ISNUMBER(SEARCH("deciduous",Sheet1!AN200)),
        "deciduous",
        ""
    )
)</f>
        <v/>
      </c>
      <c r="J199">
        <v>0</v>
      </c>
      <c r="K19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Yaxley</dc:creator>
  <dc:description/>
  <cp:lastModifiedBy>John Yaxley</cp:lastModifiedBy>
  <cp:revision>0</cp:revision>
  <cp:lastPrinted>2026-06-21T09:26:16Z</cp:lastPrinted>
  <dcterms:created xsi:type="dcterms:W3CDTF">2026-04-22T22:31:41Z</dcterms:created>
  <dcterms:modified xsi:type="dcterms:W3CDTF">2026-06-21T09:26:34Z</dcterms:modified>
  <dc:language>en-US</dc:language>
</cp:coreProperties>
</file>